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3624\Documents\GitHub\RiskProject\"/>
    </mc:Choice>
  </mc:AlternateContent>
  <xr:revisionPtr revIDLastSave="0" documentId="13_ncr:1_{D25F2BF8-6381-43AD-81E1-F3B05BB914DE}" xr6:coauthVersionLast="47" xr6:coauthVersionMax="47" xr10:uidLastSave="{00000000-0000-0000-0000-000000000000}"/>
  <bookViews>
    <workbookView xWindow="3555" yWindow="3690" windowWidth="21600" windowHeight="11385" xr2:uid="{00000000-000D-0000-FFFF-FFFF00000000}"/>
  </bookViews>
  <sheets>
    <sheet name="Sheet 1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2" l="1"/>
  <c r="G2" i="2"/>
  <c r="G3" i="2"/>
  <c r="G4" i="2"/>
  <c r="H4" i="2"/>
  <c r="G5" i="2"/>
  <c r="F13" i="2"/>
  <c r="F12" i="2"/>
  <c r="F11" i="2"/>
  <c r="F10" i="2"/>
  <c r="F9" i="2"/>
  <c r="E38" i="2"/>
  <c r="C2" i="2"/>
  <c r="F8" i="2"/>
  <c r="F5" i="2"/>
  <c r="I6" i="2"/>
  <c r="I5" i="2"/>
  <c r="G39" i="2"/>
  <c r="D36" i="2"/>
  <c r="H32" i="2"/>
  <c r="E29" i="2"/>
  <c r="I25" i="2"/>
  <c r="F22" i="2"/>
  <c r="C19" i="2"/>
  <c r="G15" i="2"/>
  <c r="D12" i="2"/>
  <c r="H8" i="2"/>
  <c r="C5" i="2"/>
  <c r="F39" i="2"/>
  <c r="C36" i="2"/>
  <c r="G32" i="2"/>
  <c r="D29" i="2"/>
  <c r="H25" i="2"/>
  <c r="E22" i="2"/>
  <c r="I18" i="2"/>
  <c r="F15" i="2"/>
  <c r="C12" i="2"/>
  <c r="G8" i="2"/>
  <c r="I4" i="2"/>
  <c r="E39" i="2"/>
  <c r="C29" i="2"/>
  <c r="G25" i="2"/>
  <c r="H18" i="2"/>
  <c r="H35" i="2"/>
  <c r="F25" i="2"/>
  <c r="D15" i="2"/>
  <c r="E8" i="2"/>
  <c r="E4" i="2"/>
  <c r="I31" i="2"/>
  <c r="C18" i="2"/>
  <c r="H24" i="2"/>
  <c r="F14" i="2"/>
  <c r="G24" i="2"/>
  <c r="E14" i="2"/>
  <c r="D38" i="2"/>
  <c r="F24" i="2"/>
  <c r="E7" i="2"/>
  <c r="I42" i="2"/>
  <c r="H42" i="2"/>
  <c r="G42" i="2"/>
  <c r="F42" i="2"/>
  <c r="C39" i="2"/>
  <c r="G35" i="2"/>
  <c r="D32" i="2"/>
  <c r="H28" i="2"/>
  <c r="E25" i="2"/>
  <c r="I21" i="2"/>
  <c r="F18" i="2"/>
  <c r="C15" i="2"/>
  <c r="G11" i="2"/>
  <c r="D8" i="2"/>
  <c r="F4" i="2"/>
  <c r="I38" i="2"/>
  <c r="F35" i="2"/>
  <c r="C32" i="2"/>
  <c r="G28" i="2"/>
  <c r="D25" i="2"/>
  <c r="H21" i="2"/>
  <c r="E18" i="2"/>
  <c r="I14" i="2"/>
  <c r="H38" i="2"/>
  <c r="E11" i="2"/>
  <c r="D35" i="2"/>
  <c r="G14" i="2"/>
  <c r="G31" i="2"/>
  <c r="I17" i="2"/>
  <c r="I3" i="2"/>
  <c r="I10" i="2"/>
  <c r="H3" i="2"/>
  <c r="H34" i="2"/>
  <c r="E42" i="2"/>
  <c r="D42" i="2"/>
  <c r="C42" i="2"/>
  <c r="I41" i="2"/>
  <c r="H41" i="2"/>
  <c r="G41" i="2"/>
  <c r="F41" i="2"/>
  <c r="C38" i="2"/>
  <c r="G34" i="2"/>
  <c r="D31" i="2"/>
  <c r="H27" i="2"/>
  <c r="E24" i="2"/>
  <c r="I20" i="2"/>
  <c r="F17" i="2"/>
  <c r="C14" i="2"/>
  <c r="G10" i="2"/>
  <c r="D7" i="2"/>
  <c r="F3" i="2"/>
  <c r="I13" i="2"/>
  <c r="C7" i="2"/>
  <c r="E34" i="2"/>
  <c r="C24" i="2"/>
  <c r="D17" i="2"/>
  <c r="E10" i="2"/>
  <c r="C10" i="2"/>
  <c r="I2" i="2"/>
  <c r="E37" i="2"/>
  <c r="F30" i="2"/>
  <c r="G23" i="2"/>
  <c r="H16" i="2"/>
  <c r="E13" i="2"/>
  <c r="E6" i="2"/>
  <c r="H2" i="2"/>
  <c r="D37" i="2"/>
  <c r="H33" i="2"/>
  <c r="I26" i="2"/>
  <c r="C20" i="2"/>
  <c r="G16" i="2"/>
  <c r="H9" i="2"/>
  <c r="I7" i="2"/>
  <c r="D4" i="2"/>
  <c r="H31" i="2"/>
  <c r="F21" i="2"/>
  <c r="H7" i="2"/>
  <c r="E21" i="2"/>
  <c r="C11" i="2"/>
  <c r="C28" i="2"/>
  <c r="E41" i="2"/>
  <c r="I37" i="2"/>
  <c r="F34" i="2"/>
  <c r="C31" i="2"/>
  <c r="G27" i="2"/>
  <c r="D24" i="2"/>
  <c r="H20" i="2"/>
  <c r="E17" i="2"/>
  <c r="E3" i="2"/>
  <c r="H37" i="2"/>
  <c r="I30" i="2"/>
  <c r="F27" i="2"/>
  <c r="G20" i="2"/>
  <c r="H13" i="2"/>
  <c r="H6" i="2"/>
  <c r="D3" i="2"/>
  <c r="F6" i="2"/>
  <c r="I33" i="2"/>
  <c r="C27" i="2"/>
  <c r="D20" i="2"/>
  <c r="I9" i="2"/>
  <c r="E30" i="2"/>
  <c r="F23" i="2"/>
  <c r="D13" i="2"/>
  <c r="D6" i="2"/>
  <c r="C4" i="2"/>
  <c r="C35" i="2"/>
  <c r="I34" i="2"/>
  <c r="I27" i="2"/>
  <c r="H10" i="2"/>
  <c r="D41" i="2"/>
  <c r="C41" i="2"/>
  <c r="G37" i="2"/>
  <c r="D34" i="2"/>
  <c r="H30" i="2"/>
  <c r="E27" i="2"/>
  <c r="I23" i="2"/>
  <c r="F20" i="2"/>
  <c r="C17" i="2"/>
  <c r="G13" i="2"/>
  <c r="D10" i="2"/>
  <c r="G6" i="2"/>
  <c r="C3" i="2"/>
  <c r="H23" i="2"/>
  <c r="E20" i="2"/>
  <c r="I16" i="2"/>
  <c r="I40" i="2"/>
  <c r="F37" i="2"/>
  <c r="C34" i="2"/>
  <c r="G30" i="2"/>
  <c r="D27" i="2"/>
  <c r="H40" i="2"/>
  <c r="F40" i="2"/>
  <c r="C37" i="2"/>
  <c r="G33" i="2"/>
  <c r="D30" i="2"/>
  <c r="H26" i="2"/>
  <c r="E23" i="2"/>
  <c r="I19" i="2"/>
  <c r="F16" i="2"/>
  <c r="C13" i="2"/>
  <c r="G9" i="2"/>
  <c r="C6" i="2"/>
  <c r="F2" i="2"/>
  <c r="E26" i="2"/>
  <c r="C9" i="2"/>
  <c r="E36" i="2"/>
  <c r="I32" i="2"/>
  <c r="E32" i="2"/>
  <c r="E40" i="2"/>
  <c r="I36" i="2"/>
  <c r="F33" i="2"/>
  <c r="C30" i="2"/>
  <c r="G26" i="2"/>
  <c r="D23" i="2"/>
  <c r="H19" i="2"/>
  <c r="E16" i="2"/>
  <c r="I12" i="2"/>
  <c r="H5" i="2"/>
  <c r="E2" i="2"/>
  <c r="E9" i="2"/>
  <c r="G36" i="2"/>
  <c r="D33" i="2"/>
  <c r="I22" i="2"/>
  <c r="F19" i="2"/>
  <c r="C16" i="2"/>
  <c r="G12" i="2"/>
  <c r="D9" i="2"/>
  <c r="F36" i="2"/>
  <c r="C33" i="2"/>
  <c r="D26" i="2"/>
  <c r="H22" i="2"/>
  <c r="I15" i="2"/>
  <c r="E5" i="2"/>
  <c r="C26" i="2"/>
  <c r="G22" i="2"/>
  <c r="D19" i="2"/>
  <c r="E12" i="2"/>
  <c r="I8" i="2"/>
  <c r="D5" i="2"/>
  <c r="I35" i="2"/>
  <c r="E15" i="2"/>
  <c r="D39" i="2"/>
  <c r="G18" i="2"/>
  <c r="F28" i="2"/>
  <c r="D18" i="2"/>
  <c r="I24" i="2"/>
  <c r="D11" i="2"/>
  <c r="F38" i="2"/>
  <c r="D28" i="2"/>
  <c r="G7" i="2"/>
  <c r="F31" i="2"/>
  <c r="D21" i="2"/>
  <c r="F7" i="2"/>
  <c r="C21" i="2"/>
  <c r="D14" i="2"/>
  <c r="D40" i="2"/>
  <c r="H36" i="2"/>
  <c r="E33" i="2"/>
  <c r="I29" i="2"/>
  <c r="F26" i="2"/>
  <c r="C23" i="2"/>
  <c r="G19" i="2"/>
  <c r="D16" i="2"/>
  <c r="H12" i="2"/>
  <c r="D2" i="2"/>
  <c r="H29" i="2"/>
  <c r="G29" i="2"/>
  <c r="E19" i="2"/>
  <c r="H39" i="2"/>
  <c r="F29" i="2"/>
  <c r="H15" i="2"/>
  <c r="F32" i="2"/>
  <c r="D22" i="2"/>
  <c r="I11" i="2"/>
  <c r="I28" i="2"/>
  <c r="C22" i="2"/>
  <c r="H11" i="2"/>
  <c r="C8" i="2"/>
  <c r="E35" i="2"/>
  <c r="C25" i="2"/>
  <c r="G21" i="2"/>
  <c r="H14" i="2"/>
  <c r="G38" i="2"/>
  <c r="E28" i="2"/>
  <c r="H17" i="2"/>
  <c r="E31" i="2"/>
  <c r="G17" i="2"/>
  <c r="C40" i="2"/>
  <c r="I39" i="2"/>
</calcChain>
</file>

<file path=xl/sharedStrings.xml><?xml version="1.0" encoding="utf-8"?>
<sst xmlns="http://schemas.openxmlformats.org/spreadsheetml/2006/main" count="51" uniqueCount="51">
  <si>
    <t>Ticker</t>
  </si>
  <si>
    <t>NET LONG USD unit k</t>
  </si>
  <si>
    <t>Last Price</t>
  </si>
  <si>
    <t>Net</t>
  </si>
  <si>
    <t>%1D</t>
  </si>
  <si>
    <t>Name</t>
  </si>
  <si>
    <t>Rel YTD Return</t>
  </si>
  <si>
    <t>Curncy</t>
  </si>
  <si>
    <t>Sec Type</t>
  </si>
  <si>
    <t>SPX</t>
  </si>
  <si>
    <t>NVDA US</t>
  </si>
  <si>
    <t>AMD US</t>
  </si>
  <si>
    <t>UKX</t>
  </si>
  <si>
    <t>IGLN LN</t>
  </si>
  <si>
    <t>MINE LN</t>
  </si>
  <si>
    <t>CBUK GY</t>
  </si>
  <si>
    <t>FXAC NA</t>
  </si>
  <si>
    <t>2899 HK</t>
  </si>
  <si>
    <t>AAPL US</t>
  </si>
  <si>
    <t>LLY US</t>
  </si>
  <si>
    <t>JNJ US</t>
  </si>
  <si>
    <t>PFE US</t>
  </si>
  <si>
    <t>OGN US</t>
  </si>
  <si>
    <t>3750 HK</t>
  </si>
  <si>
    <t>META US</t>
  </si>
  <si>
    <t>GOOGL US</t>
  </si>
  <si>
    <t>AIR FP</t>
  </si>
  <si>
    <t>BA US</t>
  </si>
  <si>
    <t>BRITISH AIRWAYS CDS EUR SR 5Y</t>
  </si>
  <si>
    <t>RR/ LN</t>
  </si>
  <si>
    <t>BA/ LN</t>
  </si>
  <si>
    <t>MDT US</t>
  </si>
  <si>
    <t>EMB US</t>
  </si>
  <si>
    <t>CBU0 LN</t>
  </si>
  <si>
    <t>PG US</t>
  </si>
  <si>
    <t>AMZN US</t>
  </si>
  <si>
    <t>NEXT US</t>
  </si>
  <si>
    <t>SO US</t>
  </si>
  <si>
    <t>JEMA LN</t>
  </si>
  <si>
    <t>EMIRATES UH</t>
  </si>
  <si>
    <t>KO US</t>
  </si>
  <si>
    <t>CON GR</t>
  </si>
  <si>
    <t>NFLX US</t>
  </si>
  <si>
    <t>SBUX US</t>
  </si>
  <si>
    <t>JGB1X SW</t>
  </si>
  <si>
    <t>USDCNY</t>
  </si>
  <si>
    <t>USDJPY</t>
  </si>
  <si>
    <t>USDHKD</t>
  </si>
  <si>
    <t>GBPUSD</t>
  </si>
  <si>
    <t>EURUSD</t>
  </si>
  <si>
    <t>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</si>
</sst>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-3.5799998790025711E-2</v>
        <stp/>
        <stp>BDP|7186345658639241287|22</stp>
        <stp>USDCNY Curncy</stp>
        <stp>RT_PX_CHG_PCT_1D</stp>
        <tr r="E38" s="2"/>
      </tp>
      <tp t="s">
        <v>#N/A N/A</v>
        <stp/>
        <stp>BDP|13726330099102123159</stp>
        <tr r="G39" s="2"/>
      </tp>
      <tp t="s">
        <v>#N/A N/A</v>
        <stp/>
        <stp>BDP|10161068746736982849</stp>
        <tr r="H30" s="2"/>
      </tp>
      <tp t="s">
        <v>#N/A N/A</v>
        <stp/>
        <stp>BDP|14042046800306843807</stp>
        <tr r="C15" s="2"/>
      </tp>
      <tp t="s">
        <v>#N/A N/A</v>
        <stp/>
        <stp>BDP|11683585932585655850</stp>
        <tr r="F39" s="2"/>
      </tp>
      <tp t="s">
        <v>#N/A N/A</v>
        <stp/>
        <stp>BDP|12017484019005458817</stp>
        <tr r="G27" s="2"/>
      </tp>
      <tp t="s">
        <v>#N/A N/A</v>
        <stp/>
        <stp>BDP|10282340152104718857</stp>
        <tr r="C36" s="2"/>
      </tp>
      <tp t="s">
        <v>#N/A N/A</v>
        <stp/>
        <stp>BDP|14786265689685055015</stp>
        <tr r="I30" s="2"/>
      </tp>
      <tp t="s">
        <v>#N/A N/A</v>
        <stp/>
        <stp>BDP|11948538617169042745</stp>
        <tr r="I34" s="2"/>
      </tp>
      <tp t="s">
        <v>#N/A N/A</v>
        <stp/>
        <stp>BDP|13327030984277671781</stp>
        <tr r="G14" s="2"/>
      </tp>
      <tp t="s">
        <v>#N/A N/A</v>
        <stp/>
        <stp>BDP|11052201193037336611</stp>
        <tr r="I21" s="2"/>
      </tp>
      <tp t="s">
        <v>#N/A N/A</v>
        <stp/>
        <stp>BDP|14668546377169920491</stp>
        <tr r="E39" s="2"/>
      </tp>
      <tp t="s">
        <v>#N/A N/A</v>
        <stp/>
        <stp>BDP|15250022874911848898</stp>
        <tr r="I26" s="2"/>
      </tp>
      <tp t="s">
        <v>#N/A N/A</v>
        <stp/>
        <stp>BDP|16974495450745287955</stp>
        <tr r="H20" s="2"/>
      </tp>
      <tp t="s">
        <v>#N/A N/A</v>
        <stp/>
        <stp>BDP|13586107072397559958</stp>
        <tr r="F20" s="2"/>
      </tp>
      <tp t="s">
        <v>#N/A N/A</v>
        <stp/>
        <stp>BDP|17619753738038543088</stp>
        <tr r="E2" s="2"/>
      </tp>
      <tp t="s">
        <v>#N/A N/A</v>
        <stp/>
        <stp>BDP|12372777549130766986</stp>
        <tr r="H21" s="2"/>
      </tp>
      <tp t="s">
        <v>#N/A N/A</v>
        <stp/>
        <stp>BDP|15230718795624191739</stp>
        <tr r="F4" s="2"/>
      </tp>
      <tp t="s">
        <v>#N/A N/A</v>
        <stp/>
        <stp>BDP|13884228839679351341</stp>
        <tr r="C21" s="2"/>
      </tp>
      <tp t="s">
        <v>#N/A N/A</v>
        <stp/>
        <stp>BDP|11431942920512482031</stp>
        <tr r="C28" s="2"/>
      </tp>
      <tp t="s">
        <v>#N/A N/A</v>
        <stp/>
        <stp>BDP|12884552599081678750</stp>
        <tr r="C17" s="2"/>
      </tp>
      <tp t="s">
        <v>#N/A N/A</v>
        <stp/>
        <stp>BDP|17003660499597037782</stp>
        <tr r="F33" s="2"/>
      </tp>
      <tp t="s">
        <v>#N/A N/A</v>
        <stp/>
        <stp>BDP|12562979105557805579</stp>
        <tr r="G42" s="2"/>
      </tp>
      <tp t="s">
        <v>#N/A N/A</v>
        <stp/>
        <stp>BDP|11457716615866838852</stp>
        <tr r="G26" s="2"/>
      </tp>
      <tp t="s">
        <v>#N/A N/A</v>
        <stp/>
        <stp>BDP|10440016544805838894</stp>
        <tr r="G5" s="2"/>
      </tp>
      <tp t="s">
        <v>#N/A N/A</v>
        <stp/>
        <stp>BDP|14152960264311473340</stp>
        <tr r="E25" s="2"/>
      </tp>
      <tp t="s">
        <v>#N/A N/A</v>
        <stp/>
        <stp>BDP|10616050593057307760</stp>
        <tr r="I39" s="2"/>
      </tp>
      <tp t="s">
        <v>#N/A N/A</v>
        <stp/>
        <stp>BDP|15903019331601790942</stp>
        <tr r="D33" s="2"/>
      </tp>
      <tp t="s">
        <v>#N/A N/A</v>
        <stp/>
        <stp>BDP|16041977316761843146</stp>
        <tr r="G15" s="2"/>
      </tp>
      <tp t="s">
        <v>#N/A N/A</v>
        <stp/>
        <stp>BDP|10756724933539844329</stp>
        <tr r="H40" s="2"/>
      </tp>
      <tp t="s">
        <v>#N/A N/A</v>
        <stp/>
        <stp>BDP|11739359662249823397</stp>
        <tr r="C37" s="2"/>
      </tp>
      <tp t="s">
        <v>#N/A N/A</v>
        <stp/>
        <stp>BDP|18349960067411860888</stp>
        <tr r="G4" s="2"/>
      </tp>
      <tp t="s">
        <v>#N/A N/A</v>
        <stp/>
        <stp>BDP|11947684672467703960</stp>
        <tr r="G19" s="2"/>
      </tp>
      <tp t="s">
        <v>#N/A N/A</v>
        <stp/>
        <stp>BDP|11365796292615724579</stp>
        <tr r="I24" s="2"/>
      </tp>
      <tp t="s">
        <v>#N/A N/A</v>
        <stp/>
        <stp>BDP|12054380239949939427</stp>
        <tr r="H29" s="2"/>
      </tp>
      <tp t="s">
        <v>#N/A N/A</v>
        <stp/>
        <stp>BDP|13923957642225746475</stp>
        <tr r="I36" s="2"/>
      </tp>
      <tp t="s">
        <v>#N/A N/A</v>
        <stp/>
        <stp>BDP|13135852254226195741</stp>
        <tr r="F41" s="2"/>
      </tp>
      <tp t="s">
        <v>#N/A N/A</v>
        <stp/>
        <stp>BDP|13102856650200870187</stp>
        <tr r="I40" s="2"/>
      </tp>
      <tp t="s">
        <v>#N/A N/A</v>
        <stp/>
        <stp>BDP|13226202059161788941</stp>
        <tr r="E26" s="2"/>
      </tp>
      <tp t="s">
        <v>#N/A N/A</v>
        <stp/>
        <stp>BDP|15878542321509781777</stp>
        <tr r="G17" s="2"/>
      </tp>
      <tp t="s">
        <v>#N/A N/A</v>
        <stp/>
        <stp>BDP|13009081181692174557</stp>
        <tr r="D11" s="2"/>
      </tp>
      <tp t="s">
        <v>#N/A N/A</v>
        <stp/>
        <stp>BDP|12159893646134678644</stp>
        <tr r="F6" s="2"/>
      </tp>
      <tp t="s">
        <v>#N/A N/A</v>
        <stp/>
        <stp>BDP|10258547940269662411</stp>
        <tr r="I6" s="2"/>
      </tp>
      <tp t="s">
        <v>#N/A N/A</v>
        <stp/>
        <stp>BDP|11103936965802558014</stp>
        <tr r="D37" s="2"/>
      </tp>
      <tp t="s">
        <v>#N/A N/A</v>
        <stp/>
        <stp>BDP|13768640896215033570</stp>
        <tr r="I28" s="2"/>
      </tp>
      <tp t="s">
        <v>#N/A N/A</v>
        <stp/>
        <stp>BDP|13376146485953853588</stp>
        <tr r="E16" s="2"/>
      </tp>
      <tp t="s">
        <v>#N/A N/A</v>
        <stp/>
        <stp>BDP|17035422948918622380</stp>
        <tr r="F9" s="2"/>
      </tp>
      <tp t="s">
        <v>#N/A N/A</v>
        <stp/>
        <stp>BDP|16910038349647120967</stp>
        <tr r="I11" s="2"/>
      </tp>
      <tp t="s">
        <v>#N/A N/A</v>
        <stp/>
        <stp>BDP|12683165297093856580</stp>
        <tr r="I15" s="2"/>
      </tp>
      <tp t="s">
        <v>#N/A N/A</v>
        <stp/>
        <stp>BDP|12835113743389862241</stp>
        <tr r="C22" s="2"/>
      </tp>
      <tp t="s">
        <v>#N/A N/A</v>
        <stp/>
        <stp>BDP|11968934023932890597</stp>
        <tr r="C7" s="2"/>
      </tp>
      <tp t="s">
        <v>#N/A N/A</v>
        <stp/>
        <stp>BDP|14006008219251660958</stp>
        <tr r="D27" s="2"/>
      </tp>
      <tp t="s">
        <v>#N/A N/A</v>
        <stp/>
        <stp>BDP|10849937685575082907</stp>
        <tr r="H3" s="2"/>
      </tp>
      <tp t="s">
        <v>#N/A N/A</v>
        <stp/>
        <stp>BDP|17616121733958148081</stp>
        <tr r="D35" s="2"/>
      </tp>
      <tp t="s">
        <v>#N/A N/A</v>
        <stp/>
        <stp>BDP|11387265906147598984</stp>
        <tr r="F8" s="2"/>
      </tp>
      <tp t="s">
        <v>#N/A N/A</v>
        <stp/>
        <stp>BDP|10003955093708600510</stp>
        <tr r="F10" s="2"/>
      </tp>
      <tp t="s">
        <v>#N/A N/A</v>
        <stp/>
        <stp>BDP|13761486691800974370</stp>
        <tr r="H36" s="2"/>
      </tp>
      <tp t="s">
        <v>#N/A N/A</v>
        <stp/>
        <stp>BDP|14464630041533025863</stp>
        <tr r="C18" s="2"/>
      </tp>
      <tp t="s">
        <v>#N/A N/A</v>
        <stp/>
        <stp>BDP|16040454835818090432</stp>
        <tr r="F15" s="2"/>
      </tp>
      <tp t="s">
        <v>#N/A N/A</v>
        <stp/>
        <stp>BDP|14363970263129756099</stp>
        <tr r="C39" s="2"/>
      </tp>
      <tp t="s">
        <v>#N/A N/A</v>
        <stp/>
        <stp>BDP|11570168183733824919</stp>
        <tr r="E28" s="2"/>
      </tp>
      <tp t="s">
        <v>#N/A N/A</v>
        <stp/>
        <stp>BDP|15700200532082464481</stp>
        <tr r="F31" s="2"/>
      </tp>
      <tp t="s">
        <v>#N/A N/A</v>
        <stp/>
        <stp>BDP|13161382645165502325</stp>
        <tr r="G10" s="2"/>
      </tp>
      <tp t="s">
        <v>#N/A N/A</v>
        <stp/>
        <stp>BDP|16208206068012748229</stp>
        <tr r="G20" s="2"/>
      </tp>
      <tp t="s">
        <v>#N/A N/A</v>
        <stp/>
        <stp>BDP|18366234675737059841</stp>
        <tr r="I20" s="2"/>
      </tp>
      <tp t="s">
        <v>#N/A N/A</v>
        <stp/>
        <stp>BDP|13860077139406148467</stp>
        <tr r="C9" s="2"/>
      </tp>
      <tp t="s">
        <v>#N/A N/A</v>
        <stp/>
        <stp>BDP|18261041613382059904</stp>
        <tr r="I31" s="2"/>
      </tp>
      <tp t="s">
        <v>#N/A N/A</v>
        <stp/>
        <stp>BDP|16582623533297960696</stp>
        <tr r="G13" s="2"/>
      </tp>
      <tp t="s">
        <v>#N/A N/A</v>
        <stp/>
        <stp>BDP|13858879495628456914</stp>
        <tr r="H31" s="2"/>
      </tp>
      <tp t="s">
        <v>#N/A N/A</v>
        <stp/>
        <stp>BDP|11695912767929760498</stp>
        <tr r="G35" s="2"/>
      </tp>
      <tp t="s">
        <v>#N/A N/A</v>
        <stp/>
        <stp>BDP|17038771305915005622</stp>
        <tr r="H25" s="2"/>
      </tp>
      <tp t="s">
        <v>#N/A N/A</v>
        <stp/>
        <stp>BDP|11315381428307748440</stp>
        <tr r="D38" s="2"/>
      </tp>
      <tp t="s">
        <v>#N/A N/A</v>
        <stp/>
        <stp>BDP|16827823126506554997</stp>
        <tr r="F22" s="2"/>
      </tp>
      <tp t="s">
        <v>#N/A N/A</v>
        <stp/>
        <stp>BDP|14593538328399898904</stp>
        <tr r="H11" s="2"/>
      </tp>
      <tp t="s">
        <v>#N/A N/A</v>
        <stp/>
        <stp>BDP|10942320600164745753</stp>
        <tr r="D17" s="2"/>
      </tp>
      <tp t="s">
        <v>#N/A N/A</v>
        <stp/>
        <stp>BDP|10999080899661154832</stp>
        <tr r="H41" s="2"/>
      </tp>
      <tp t="s">
        <v>#N/A N/A</v>
        <stp/>
        <stp>BDP|11514997987664059458</stp>
        <tr r="G33" s="2"/>
      </tp>
      <tp t="s">
        <v>#N/A N/A</v>
        <stp/>
        <stp>BDP|17600299909934463117</stp>
        <tr r="D21" s="2"/>
      </tp>
      <tp t="s">
        <v>#N/A N/A</v>
        <stp/>
        <stp>BDP|15451012353400379014</stp>
        <tr r="H28" s="2"/>
      </tp>
      <tp t="s">
        <v>#N/A N/A</v>
        <stp/>
        <stp>BDP|11250167525481573333</stp>
        <tr r="C29" s="2"/>
      </tp>
      <tp t="s">
        <v>#N/A N/A</v>
        <stp/>
        <stp>BDP|11997629114190969612</stp>
        <tr r="F42" s="2"/>
      </tp>
      <tp t="s">
        <v>#N/A N/A</v>
        <stp/>
        <stp>BDP|15103475849371120574</stp>
        <tr r="D41" s="2"/>
      </tp>
      <tp t="s">
        <v>#N/A N/A</v>
        <stp/>
        <stp>BDP|12356534598236212935</stp>
        <tr r="C16" s="2"/>
      </tp>
      <tp t="s">
        <v>#N/A N/A</v>
        <stp/>
        <stp>BDP|12204730210556207380</stp>
        <tr r="H27" s="2"/>
      </tp>
      <tp t="s">
        <v>#N/A N/A</v>
        <stp/>
        <stp>BDP|10460298747857017006</stp>
        <tr r="H6" s="2"/>
      </tp>
      <tp t="s">
        <v>#N/A N/A</v>
        <stp/>
        <stp>BDP|16867424875097710325</stp>
        <tr r="C33" s="2"/>
      </tp>
      <tp t="s">
        <v>#N/A N/A</v>
        <stp/>
        <stp>BDP|16162101806491084768</stp>
        <tr r="D29" s="2"/>
      </tp>
      <tp t="s">
        <v>#N/A N/A</v>
        <stp/>
        <stp>BDP|15048508152690684466</stp>
        <tr r="C31" s="2"/>
      </tp>
      <tp t="s">
        <v>#N/A N/A</v>
        <stp/>
        <stp>BDP|11062202761214578004</stp>
        <tr r="D28" s="2"/>
      </tp>
      <tp t="s">
        <v>#N/A N/A</v>
        <stp/>
        <stp>BDP|14796527360083621578</stp>
        <tr r="I33" s="2"/>
      </tp>
      <tp t="s">
        <v>#N/A N/A</v>
        <stp/>
        <stp>BDP|12683415508285155296</stp>
        <tr r="F32" s="2"/>
      </tp>
      <tp t="s">
        <v>#N/A N/A</v>
        <stp/>
        <stp>BDP|16616712736590297494</stp>
        <tr r="G7" s="2"/>
      </tp>
      <tp t="s">
        <v>#N/A N/A</v>
        <stp/>
        <stp>BDP|17576767409894203223</stp>
        <tr r="H5" s="2"/>
      </tp>
      <tp t="s">
        <v>#N/A N/A</v>
        <stp/>
        <stp>BDP|15949428646123579029</stp>
        <tr r="E42" s="2"/>
      </tp>
      <tp t="s">
        <v>#N/A N/A</v>
        <stp/>
        <stp>BDP|14505828566708507481</stp>
        <tr r="E35" s="2"/>
      </tp>
      <tp t="s">
        <v>#N/A N/A</v>
        <stp/>
        <stp>BDP|15725657548819232897</stp>
        <tr r="E18" s="2"/>
      </tp>
      <tp t="s">
        <v>#N/A N/A</v>
        <stp/>
        <stp>BDP|13900049956600954022</stp>
        <tr r="D13" s="2"/>
      </tp>
      <tp t="s">
        <v>#N/A N/A</v>
        <stp/>
        <stp>BDP|12051770770243262701</stp>
        <tr r="C6" s="2"/>
      </tp>
      <tp t="s">
        <v>#N/A N/A</v>
        <stp/>
        <stp>BDP|13869752148025551370</stp>
        <tr r="C8" s="2"/>
      </tp>
      <tp t="s">
        <v>#N/A N/A</v>
        <stp/>
        <stp>BDP|14582929568925061894</stp>
        <tr r="I25" s="2"/>
      </tp>
      <tp t="s">
        <v>#N/A N/A</v>
        <stp/>
        <stp>BDP|17320285635276154692</stp>
        <tr r="F21" s="2"/>
      </tp>
      <tp t="s">
        <v>#N/A N/A</v>
        <stp/>
        <stp>BDP|17434287841994420203</stp>
        <tr r="E15" s="2"/>
      </tp>
      <tp t="s">
        <v>#N/A N/A</v>
        <stp/>
        <stp>BDP|10471760537425834641</stp>
        <tr r="H19" s="2"/>
      </tp>
      <tp t="s">
        <v>#N/A N/A</v>
        <stp/>
        <stp>BDP|16688428108077739203</stp>
        <tr r="E23" s="2"/>
      </tp>
      <tp t="s">
        <v>#N/A N/A</v>
        <stp/>
        <stp>BDP|16434624473755799585</stp>
        <tr r="C23" s="2"/>
      </tp>
      <tp t="s">
        <v>#N/A N/A</v>
        <stp/>
        <stp>BDP|17383472322095340392</stp>
        <tr r="H23" s="2"/>
      </tp>
      <tp t="s">
        <v>#N/A N/A</v>
        <stp/>
        <stp>BDP|16664691158481139397</stp>
        <tr r="E36" s="2"/>
      </tp>
      <tp t="s">
        <v>#N/A N/A</v>
        <stp/>
        <stp>BDP|12731195518096602311</stp>
        <tr r="I18" s="2"/>
      </tp>
      <tp t="s">
        <v>#N/A N/A</v>
        <stp/>
        <stp>BDP|11207419032966624738</stp>
        <tr r="D3" s="2"/>
      </tp>
      <tp t="s">
        <v>#N/A N/A</v>
        <stp/>
        <stp>BDP|17295736934121751557</stp>
        <tr r="D22" s="2"/>
      </tp>
      <tp t="s">
        <v>#N/A N/A</v>
        <stp/>
        <stp>BDP|13806753115830245115</stp>
        <tr r="C4" s="2"/>
      </tp>
      <tp t="s">
        <v>#N/A N/A</v>
        <stp/>
        <stp>BDP|16966964530970065805</stp>
        <tr r="E29" s="2"/>
      </tp>
      <tp t="s">
        <v>#N/A N/A</v>
        <stp/>
        <stp>BDP|16433475406981355789</stp>
        <tr r="C38" s="2"/>
      </tp>
      <tp t="s">
        <v>#N/A N/A</v>
        <stp/>
        <stp>BDP|18421073664189187360</stp>
        <tr r="F26" s="2"/>
      </tp>
      <tp t="s">
        <v>#N/A N/A</v>
        <stp/>
        <stp>BDP|17470882591961521382</stp>
        <tr r="C30" s="2"/>
      </tp>
      <tp t="s">
        <v>#N/A N/A</v>
        <stp/>
        <stp>BDP|17725620279742469083</stp>
        <tr r="F13" s="2"/>
      </tp>
      <tp t="s">
        <v>#N/A N/A</v>
        <stp/>
        <stp>BDP|14855635018010880786</stp>
        <tr r="I8" s="2"/>
      </tp>
      <tp t="s">
        <v>#N/A N/A</v>
        <stp/>
        <stp>BDP|10883295710664675336</stp>
        <tr r="I27" s="2"/>
      </tp>
      <tp t="s">
        <v>#N/A N/A</v>
        <stp/>
        <stp>BDP|17504207547164204016</stp>
        <tr r="D42" s="2"/>
      </tp>
      <tp t="s">
        <v>#N/A N/A</v>
        <stp/>
        <stp>BDP|14672332335199571845</stp>
        <tr r="F3" s="2"/>
      </tp>
      <tp t="s">
        <v>#N/A N/A</v>
        <stp/>
        <stp>BDP|12185746505589525950</stp>
        <tr r="E34" s="2"/>
      </tp>
      <tp t="s">
        <v>#N/A N/A</v>
        <stp/>
        <stp>BDP|14686532303935796165</stp>
        <tr r="E17" s="2"/>
      </tp>
      <tp t="s">
        <v>#N/A N/A</v>
        <stp/>
        <stp>BDP|16115650444926539732</stp>
        <tr r="G30" s="2"/>
      </tp>
      <tp t="s">
        <v>#N/A N/A</v>
        <stp/>
        <stp>BDP|9109736174406829347</stp>
        <tr r="F35" s="2"/>
      </tp>
      <tp t="s">
        <v>#N/A N/A</v>
        <stp/>
        <stp>BDP|1813871049719514881</stp>
        <tr r="E33" s="2"/>
      </tp>
      <tp t="s">
        <v>#N/A N/A</v>
        <stp/>
        <stp>BDP|1594039234189838727</stp>
        <tr r="C5" s="2"/>
      </tp>
      <tp t="s">
        <v>#N/A N/A</v>
        <stp/>
        <stp>BDP|5324107897017504686</stp>
        <tr r="G38" s="2"/>
      </tp>
      <tp t="s">
        <v>#N/A N/A</v>
        <stp/>
        <stp>BDP|9851366812887695049</stp>
        <tr r="D25" s="2"/>
      </tp>
      <tp t="s">
        <v>#N/A N/A</v>
        <stp/>
        <stp>BDP|8830540870086602079</stp>
        <tr r="H37" s="2"/>
      </tp>
      <tp t="s">
        <v>#N/A N/A</v>
        <stp/>
        <stp>BDP|6982004263968238455</stp>
        <tr r="G37" s="2"/>
      </tp>
      <tp t="s">
        <v>#N/A N/A</v>
        <stp/>
        <stp>BDP|9719497041435481069</stp>
        <tr r="H15" s="2"/>
      </tp>
      <tp t="s">
        <v>#N/A N/A</v>
        <stp/>
        <stp>BDP|6247764095165360107</stp>
        <tr r="H7" s="2"/>
      </tp>
      <tp t="s">
        <v>#N/A N/A</v>
        <stp/>
        <stp>BDP|1727982507460178493</stp>
        <tr r="E24" s="2"/>
      </tp>
      <tp t="s">
        <v>#N/A N/A</v>
        <stp/>
        <stp>BDP|5127514461408575224</stp>
        <tr r="F27" s="2"/>
      </tp>
      <tp t="s">
        <v>#N/A N/A</v>
        <stp/>
        <stp>BDP|3957932723552737683</stp>
        <tr r="D16" s="2"/>
      </tp>
      <tp t="s">
        <v>#N/A N/A</v>
        <stp/>
        <stp>BDP|3268029323305573822</stp>
        <tr r="I13" s="2"/>
      </tp>
      <tp t="s">
        <v>#N/A N/A</v>
        <stp/>
        <stp>BDP|6458015923648280002</stp>
        <tr r="H14" s="2"/>
      </tp>
      <tp t="s">
        <v>#N/A N/A</v>
        <stp/>
        <stp>BDP|5225636553458127318</stp>
        <tr r="I9" s="2"/>
      </tp>
      <tp t="s">
        <v>#N/A N/A</v>
        <stp/>
        <stp>BDP|7689669570202669942</stp>
        <tr r="E19" s="2"/>
      </tp>
      <tp t="s">
        <v>#N/A N/A</v>
        <stp/>
        <stp>BDP|1390436432229222236</stp>
        <tr r="E11" s="2"/>
      </tp>
      <tp t="s">
        <v>#N/A N/A</v>
        <stp/>
        <stp>BDP|4224846601889118801</stp>
        <tr r="G36" s="2"/>
      </tp>
      <tp t="s">
        <v>#N/A N/A</v>
        <stp/>
        <stp>BDP|8055576064445977008</stp>
        <tr r="C11" s="2"/>
      </tp>
      <tp t="s">
        <v>#N/A N/A</v>
        <stp/>
        <stp>BDP|6343627779900306904</stp>
        <tr r="F24" s="2"/>
      </tp>
      <tp t="s">
        <v>#N/A N/A</v>
        <stp/>
        <stp>BDP|3010037756768995026</stp>
        <tr r="F2" s="2"/>
      </tp>
      <tp t="s">
        <v>#N/A N/A</v>
        <stp/>
        <stp>BDP|4483818458306536176</stp>
        <tr r="H4" s="2"/>
      </tp>
      <tp t="s">
        <v>#N/A N/A</v>
        <stp/>
        <stp>BDP|1402105755382465996</stp>
        <tr r="C32" s="2"/>
      </tp>
      <tp t="s">
        <v>#N/A N/A</v>
        <stp/>
        <stp>BDP|9063213310330296407</stp>
        <tr r="D32" s="2"/>
      </tp>
      <tp t="s">
        <v>#N/A N/A</v>
        <stp/>
        <stp>BDP|7268049620249126274</stp>
        <tr r="H12" s="2"/>
      </tp>
      <tp t="s">
        <v>#N/A N/A</v>
        <stp/>
        <stp>BDP|2191437043995955997</stp>
        <tr r="F7" s="2"/>
      </tp>
      <tp t="s">
        <v>#N/A N/A</v>
        <stp/>
        <stp>BDP|9996169415162514580</stp>
        <tr r="F38" s="2"/>
      </tp>
      <tp t="s">
        <v>#N/A N/A</v>
        <stp/>
        <stp>BDP|7560579468229911289</stp>
        <tr r="G8" s="2"/>
      </tp>
      <tp t="s">
        <v>#N/A N/A</v>
        <stp/>
        <stp>BDP|8574862939264440827</stp>
        <tr r="H24" s="2"/>
      </tp>
      <tp t="s">
        <v>#N/A N/A</v>
        <stp/>
        <stp>BDP|2531087507884508923</stp>
        <tr r="G29" s="2"/>
      </tp>
      <tp t="s">
        <v>#N/A N/A</v>
        <stp/>
        <stp>BDP|4474274498790427023</stp>
        <tr r="D12" s="2"/>
      </tp>
      <tp t="s">
        <v>#N/A N/A</v>
        <stp/>
        <stp>BDP|9403255991688555578</stp>
        <tr r="C10" s="2"/>
      </tp>
      <tp t="s">
        <v>#N/A N/A</v>
        <stp/>
        <stp>BDP|4497697997395543196</stp>
        <tr r="C20" s="2"/>
      </tp>
      <tp t="s">
        <v>#N/A N/A</v>
        <stp/>
        <stp>BDP|7654121486242604312</stp>
        <tr r="H8" s="2"/>
      </tp>
      <tp t="s">
        <v>#N/A N/A</v>
        <stp/>
        <stp>BDP|5458982140199075924</stp>
        <tr r="D4" s="2"/>
      </tp>
      <tp t="s">
        <v>#N/A N/A</v>
        <stp/>
        <stp>BDP|6521228789233444753</stp>
        <tr r="F16" s="2"/>
      </tp>
      <tp t="s">
        <v>#N/A N/A</v>
        <stp/>
        <stp>BDP|2880315707031759854</stp>
        <tr r="I32" s="2"/>
      </tp>
      <tp t="s">
        <v>#N/A N/A</v>
        <stp/>
        <stp>BDP|2643784526489972605</stp>
        <tr r="D5" s="2"/>
      </tp>
      <tp t="s">
        <v>#N/A N/A</v>
        <stp/>
        <stp>BDP|2393427917279107613</stp>
        <tr r="D23" s="2"/>
      </tp>
      <tp t="s">
        <v>#N/A N/A</v>
        <stp/>
        <stp>BDP|6617145454562277820</stp>
        <tr r="D14" s="2"/>
      </tp>
      <tp t="s">
        <v>#N/A N/A</v>
        <stp/>
        <stp>BDP|9160268865810066574</stp>
        <tr r="D9" s="2"/>
      </tp>
      <tp t="s">
        <v>#N/A N/A</v>
        <stp/>
        <stp>BDP|3162420132519898431</stp>
        <tr r="D24" s="2"/>
      </tp>
      <tp t="s">
        <v>#N/A N/A</v>
        <stp/>
        <stp>BDP|5100045279723230840</stp>
        <tr r="G21" s="2"/>
      </tp>
      <tp t="s">
        <v>#N/A N/A</v>
        <stp/>
        <stp>BDP|4422205808806428929</stp>
        <tr r="H16" s="2"/>
      </tp>
      <tp t="s">
        <v>#N/A N/A</v>
        <stp/>
        <stp>BDP|7971448215898256306</stp>
        <tr r="H26" s="2"/>
      </tp>
      <tp t="s">
        <v>#N/A N/A</v>
        <stp/>
        <stp>BDP|9328385413396113468</stp>
        <tr r="E4" s="2"/>
      </tp>
      <tp t="s">
        <v>#N/A N/A</v>
        <stp/>
        <stp>BDP|5996727485324895793</stp>
        <tr r="H38" s="2"/>
      </tp>
      <tp t="s">
        <v>#N/A N/A</v>
        <stp/>
        <stp>BDP|1668730348673544851</stp>
        <tr r="D6" s="2"/>
      </tp>
      <tp t="s">
        <v>#N/A N/A</v>
        <stp/>
        <stp>BDP|8869200470152263680</stp>
        <tr r="E3" s="2"/>
      </tp>
      <tp t="s">
        <v>#N/A N/A</v>
        <stp/>
        <stp>BDP|7276511259559037780</stp>
        <tr r="D7" s="2"/>
      </tp>
      <tp t="s">
        <v>#N/A N/A</v>
        <stp/>
        <stp>BDP|9637940372468322631</stp>
        <tr r="C40" s="2"/>
      </tp>
      <tp t="s">
        <v>#N/A N/A</v>
        <stp/>
        <stp>BDP|1494968822520771368</stp>
        <tr r="H35" s="2"/>
      </tp>
      <tp t="s">
        <v>#N/A N/A</v>
        <stp/>
        <stp>BDP|8429948576457362832</stp>
        <tr r="D36" s="2"/>
      </tp>
      <tp t="s">
        <v>#N/A N/A</v>
        <stp/>
        <stp>BDP|2986220289152141344</stp>
        <tr r="D26" s="2"/>
      </tp>
      <tp t="s">
        <v>#N/A N/A</v>
        <stp/>
        <stp>BDP|7681845166002514266</stp>
        <tr r="C24" s="2"/>
      </tp>
      <tp t="s">
        <v>#N/A N/A</v>
        <stp/>
        <stp>BDP|4208103477643752873</stp>
        <tr r="D15" s="2"/>
      </tp>
      <tp t="s">
        <v>#N/A N/A</v>
        <stp/>
        <stp>BDP|8961997484903833060</stp>
        <tr r="E9" s="2"/>
      </tp>
      <tp t="s">
        <v>#N/A N/A</v>
        <stp/>
        <stp>BDP|6855768278504934857</stp>
        <tr r="F5" s="2"/>
      </tp>
      <tp t="s">
        <v>#N/A N/A</v>
        <stp/>
        <stp>BDP|3710909662467700197</stp>
        <tr r="F19" s="2"/>
      </tp>
      <tp t="s">
        <v>#N/A N/A</v>
        <stp/>
        <stp>BDP|7121948149318161869</stp>
        <tr r="E21" s="2"/>
      </tp>
      <tp t="s">
        <v>#N/A N/A</v>
        <stp/>
        <stp>BDP|1480179701779847336</stp>
        <tr r="G18" s="2"/>
      </tp>
      <tp t="s">
        <v>#N/A N/A</v>
        <stp/>
        <stp>BDP|9055977960625307973</stp>
        <tr r="H10" s="2"/>
      </tp>
      <tp t="s">
        <v>#N/A N/A</v>
        <stp/>
        <stp>BDP|9340206715218029866</stp>
        <tr r="G25" s="2"/>
      </tp>
      <tp t="s">
        <v>#N/A N/A</v>
        <stp/>
        <stp>BDP|9216032135853656280</stp>
        <tr r="I3" s="2"/>
      </tp>
      <tp t="s">
        <v>#N/A N/A</v>
        <stp/>
        <stp>BDP|3944084777187934851</stp>
        <tr r="G16" s="2"/>
      </tp>
      <tp t="s">
        <v>#N/A N/A</v>
        <stp/>
        <stp>BDP|3207873935116218584</stp>
        <tr r="E40" s="2"/>
      </tp>
      <tp t="s">
        <v>#N/A N/A</v>
        <stp/>
        <stp>BDP|9076312829667419423</stp>
        <tr r="F29" s="2"/>
      </tp>
      <tp t="s">
        <v>#N/A N/A</v>
        <stp/>
        <stp>BDP|9122413816081145693</stp>
        <tr r="C14" s="2"/>
      </tp>
      <tp t="s">
        <v>#N/A N/A</v>
        <stp/>
        <stp>BDP|2808494796474558000</stp>
        <tr r="E20" s="2"/>
      </tp>
      <tp t="s">
        <v>#N/A N/A</v>
        <stp/>
        <stp>BDP|1655203877408620747</stp>
        <tr r="E22" s="2"/>
      </tp>
      <tp t="s">
        <v>#N/A N/A</v>
        <stp/>
        <stp>BDP|6329020999266162295</stp>
        <tr r="D10" s="2"/>
      </tp>
      <tp t="s">
        <v>#N/A N/A</v>
        <stp/>
        <stp>BDP|9653383310122358291</stp>
        <tr r="C41" s="2"/>
      </tp>
      <tp t="s">
        <v>#N/A N/A</v>
        <stp/>
        <stp>BDP|2138508063255915010</stp>
        <tr r="I22" s="2"/>
      </tp>
      <tp t="s">
        <v>#N/A N/A</v>
        <stp/>
        <stp>BDP|3192345212236175391</stp>
        <tr r="C27" s="2"/>
      </tp>
      <tp t="s">
        <v>#N/A N/A</v>
        <stp/>
        <stp>BDP|9258452683346552723</stp>
        <tr r="I12" s="2"/>
      </tp>
      <tp t="s">
        <v>#N/A N/A</v>
        <stp/>
        <stp>BDP|9251622605349132248</stp>
        <tr r="D40" s="2"/>
      </tp>
      <tp t="s">
        <v>#N/A N/A</v>
        <stp/>
        <stp>BDP|2370977224319975497</stp>
        <tr r="G41" s="2"/>
      </tp>
      <tp t="s">
        <v>#N/A N/A</v>
        <stp/>
        <stp>BDP|2243328945849060847</stp>
        <tr r="C12" s="2"/>
      </tp>
      <tp t="s">
        <v>#N/A N/A</v>
        <stp/>
        <stp>BDP|3646236613481802582</stp>
        <tr r="D18" s="2"/>
      </tp>
      <tp t="s">
        <v>#N/A N/A</v>
        <stp/>
        <stp>BDP|8129829560034375648</stp>
        <tr r="G6" s="2"/>
      </tp>
      <tp t="s">
        <v>#N/A N/A</v>
        <stp/>
        <stp>BDP|5266497981205363910</stp>
        <tr r="E12" s="2"/>
      </tp>
      <tp t="s">
        <v>#N/A N/A</v>
        <stp/>
        <stp>BDP|7669793763101124231</stp>
        <tr r="D30" s="2"/>
      </tp>
      <tp t="s">
        <v>#N/A N/A</v>
        <stp/>
        <stp>BDP|7145486937834576174</stp>
        <tr r="F40" s="2"/>
      </tp>
      <tp t="s">
        <v>#N/A N/A</v>
        <stp/>
        <stp>BDP|5848383224784863508</stp>
        <tr r="F25" s="2"/>
      </tp>
      <tp t="s">
        <v>#N/A N/A</v>
        <stp/>
        <stp>BDP|3605600574103696495</stp>
        <tr r="E31" s="2"/>
      </tp>
      <tp t="s">
        <v>#N/A N/A</v>
        <stp/>
        <stp>BDP|8160612005749764228</stp>
        <tr r="G23" s="2"/>
      </tp>
      <tp t="s">
        <v>#N/A N/A</v>
        <stp/>
        <stp>BDP|4482602770772595206</stp>
        <tr r="G32" s="2"/>
      </tp>
      <tp t="s">
        <v>#N/A N/A</v>
        <stp/>
        <stp>BDP|9197614781236994721</stp>
        <tr r="E6" s="2"/>
      </tp>
      <tp t="s">
        <v>#N/A N/A</v>
        <stp/>
        <stp>BDP|6892479126773010521</stp>
        <tr r="H2" s="2"/>
      </tp>
      <tp t="s">
        <v>#N/A N/A</v>
        <stp/>
        <stp>BDP|3876872004918020556</stp>
        <tr r="E10" s="2"/>
      </tp>
      <tp t="s">
        <v>#N/A N/A</v>
        <stp/>
        <stp>BDP|9635873607726334164</stp>
        <tr r="E13" s="2"/>
      </tp>
      <tp t="s">
        <v>#N/A N/A</v>
        <stp/>
        <stp>BDP|9068004636865649971</stp>
        <tr r="H18" s="2"/>
      </tp>
      <tp t="s">
        <v>#N/A N/A</v>
        <stp/>
        <stp>BDP|2536876535509111638</stp>
        <tr r="C42" s="2"/>
      </tp>
      <tp t="s">
        <v>#N/A N/A</v>
        <stp/>
        <stp>BDP|4004730270766354589</stp>
        <tr r="D8" s="2"/>
      </tp>
      <tp t="s">
        <v>#N/A N/A</v>
        <stp/>
        <stp>BDP|6783590224027386159</stp>
        <tr r="I16" s="2"/>
      </tp>
      <tp t="s">
        <v>#N/A N/A</v>
        <stp/>
        <stp>BDP|8003797495279612867</stp>
        <tr r="I41" s="2"/>
      </tp>
      <tp t="s">
        <v>#N/A N/A</v>
        <stp/>
        <stp>BDP|2092082027667507073</stp>
        <tr r="I5" s="2"/>
      </tp>
      <tp t="s">
        <v>#N/A N/A</v>
        <stp/>
        <stp>BDP|1470956287633257497</stp>
        <tr r="F14" s="2"/>
      </tp>
      <tp t="s">
        <v>#N/A N/A</v>
        <stp/>
        <stp>BDP|8263106965958046051</stp>
        <tr r="C35" s="2"/>
      </tp>
      <tp t="s">
        <v>#N/A N/A</v>
        <stp/>
        <stp>BDP|2283962262138117258</stp>
        <tr r="F36" s="2"/>
      </tp>
      <tp t="s">
        <v>#N/A N/A</v>
        <stp/>
        <stp>BDP|7440769568831153095</stp>
        <tr r="D39" s="2"/>
      </tp>
      <tp t="s">
        <v>#N/A N/A</v>
        <stp/>
        <stp>BDP|3252326477349184959</stp>
        <tr r="E41" s="2"/>
      </tp>
      <tp t="s">
        <v>#N/A N/A</v>
        <stp/>
        <stp>BDP|8256528446759141749</stp>
        <tr r="H34" s="2"/>
      </tp>
      <tp t="s">
        <v>#N/A N/A</v>
        <stp/>
        <stp>BDP|4948025246751409692</stp>
        <tr r="G22" s="2"/>
      </tp>
      <tp t="s">
        <v>#N/A N/A</v>
        <stp/>
        <stp>BDP|9153568951839777700</stp>
        <tr r="C19" s="2"/>
      </tp>
      <tp t="s">
        <v>#N/A N/A</v>
        <stp/>
        <stp>BDP|6273254855110508619</stp>
        <tr r="G31" s="2"/>
      </tp>
      <tp t="s">
        <v>#N/A N/A</v>
        <stp/>
        <stp>BDP|2402734528145119587</stp>
        <tr r="I23" s="2"/>
      </tp>
      <tp t="s">
        <v>#N/A N/A</v>
        <stp/>
        <stp>BDP|1237615668261784790</stp>
        <tr r="H22" s="2"/>
      </tp>
      <tp t="s">
        <v>#N/A N/A</v>
        <stp/>
        <stp>BDP|3424174147663723597</stp>
        <tr r="F12" s="2"/>
      </tp>
      <tp t="s">
        <v>#N/A N/A</v>
        <stp/>
        <stp>BDP|5613288614071837799</stp>
        <tr r="I2" s="2"/>
      </tp>
      <tp t="s">
        <v>#N/A N/A</v>
        <stp/>
        <stp>BDP|1166463665435984633</stp>
        <tr r="I7" s="2"/>
      </tp>
      <tp t="s">
        <v>#N/A N/A</v>
        <stp/>
        <stp>BDP|5838727540121466777</stp>
        <tr r="F30" s="2"/>
      </tp>
      <tp t="s">
        <v>#N/A N/A</v>
        <stp/>
        <stp>BDP|8274731171491789949</stp>
        <tr r="G3" s="2"/>
      </tp>
      <tp t="s">
        <v>#N/A N/A</v>
        <stp/>
        <stp>BDP|4491543040142409756</stp>
        <tr r="C13" s="2"/>
      </tp>
      <tp t="s">
        <v>#N/A N/A</v>
        <stp/>
        <stp>BDP|8465042404690683837</stp>
        <tr r="E14" s="2"/>
      </tp>
      <tp t="s">
        <v>#N/A N/A</v>
        <stp/>
        <stp>BDP|1019546149324925451</stp>
        <tr r="E27" s="2"/>
      </tp>
      <tp t="s">
        <v>#N/A N/A</v>
        <stp/>
        <stp>BDP|2234948090263733171</stp>
        <tr r="I19" s="2"/>
      </tp>
      <tp t="s">
        <v>#N/A N/A</v>
        <stp/>
        <stp>BDP|1189818855878137403</stp>
        <tr r="E5" s="2"/>
      </tp>
      <tp t="s">
        <v>#N/A N/A</v>
        <stp/>
        <stp>BDP|7505554334637623678</stp>
        <tr r="G34" s="2"/>
      </tp>
      <tp t="s">
        <v>#N/A N/A</v>
        <stp/>
        <stp>BDP|1268961494542685334</stp>
        <tr r="E32" s="2"/>
      </tp>
      <tp t="s">
        <v>#N/A N/A</v>
        <stp/>
        <stp>BDP|8715484707489933547</stp>
        <tr r="I14" s="2"/>
      </tp>
      <tp t="s">
        <v>#N/A N/A</v>
        <stp/>
        <stp>BDP|9727812033650838365</stp>
        <tr r="I37" s="2"/>
      </tp>
      <tp t="s">
        <v>#N/A N/A</v>
        <stp/>
        <stp>BDP|3672783143288450927</stp>
        <tr r="I10" s="2"/>
      </tp>
      <tp t="s">
        <v>#N/A N/A</v>
        <stp/>
        <stp>BDP|9318893502329070915</stp>
        <tr r="G9" s="2"/>
      </tp>
      <tp t="s">
        <v>#N/A N/A</v>
        <stp/>
        <stp>BDP|8267719897556193183</stp>
        <tr r="I29" s="2"/>
      </tp>
      <tp t="s">
        <v>#N/A N/A</v>
        <stp/>
        <stp>BDP|1103775576283436363</stp>
        <tr r="E7" s="2"/>
      </tp>
      <tp t="s">
        <v>#N/A N/A</v>
        <stp/>
        <stp>BDP|6650292152931839150</stp>
        <tr r="H39" s="2"/>
      </tp>
      <tp t="s">
        <v>#N/A N/A</v>
        <stp/>
        <stp>BDP|3613685676553800010</stp>
        <tr r="E37" s="2"/>
      </tp>
      <tp t="s">
        <v>#N/A N/A</v>
        <stp/>
        <stp>BDP|8139380886094184688</stp>
        <tr r="G28" s="2"/>
      </tp>
      <tp t="s">
        <v>#N/A N/A</v>
        <stp/>
        <stp>BDP|5378018664922345028</stp>
        <tr r="F28" s="2"/>
      </tp>
      <tp t="s">
        <v>#N/A N/A</v>
        <stp/>
        <stp>BDP|1777938155178798428</stp>
        <tr r="H13" s="2"/>
      </tp>
      <tp t="s">
        <v>#N/A N/A</v>
        <stp/>
        <stp>BDP|3832354416143870370</stp>
        <tr r="D34" s="2"/>
      </tp>
      <tp t="s">
        <v>#N/A N/A</v>
        <stp/>
        <stp>BDP|4610781324404418766</stp>
        <tr r="G12" s="2"/>
      </tp>
      <tp t="s">
        <v>#N/A N/A</v>
        <stp/>
        <stp>BDP|3526211911733869129</stp>
        <tr r="F37" s="2"/>
      </tp>
      <tp t="s">
        <v>#N/A N/A</v>
        <stp/>
        <stp>BDP|8320361190952523221</stp>
        <tr r="F23" s="2"/>
      </tp>
      <tp t="s">
        <v>#N/A N/A</v>
        <stp/>
        <stp>BDP|2425136171527217175</stp>
        <tr r="H17" s="2"/>
      </tp>
      <tp t="s">
        <v>#N/A N/A</v>
        <stp/>
        <stp>BDP|2630581548609766860</stp>
        <tr r="C3" s="2"/>
      </tp>
      <tp t="s">
        <v>#N/A N/A</v>
        <stp/>
        <stp>BDP|1974149410370576232</stp>
        <tr r="D20" s="2"/>
      </tp>
      <tp t="s">
        <v>#N/A N/A</v>
        <stp/>
        <stp>BDP|4529756216185433497</stp>
        <tr r="I4" s="2"/>
      </tp>
      <tp t="s">
        <v>#N/A N/A</v>
        <stp/>
        <stp>BDP|3737266429112626261</stp>
        <tr r="G24" s="2"/>
      </tp>
      <tp t="s">
        <v>#N/A N/A</v>
        <stp/>
        <stp>BDP|6394099357891618155</stp>
        <tr r="E30" s="2"/>
      </tp>
      <tp t="s">
        <v>#N/A N/A</v>
        <stp/>
        <stp>BDP|7419119401472888737</stp>
        <tr r="C26" s="2"/>
      </tp>
      <tp t="s">
        <v>#N/A N/A</v>
        <stp/>
        <stp>BDP|7644498219727310693</stp>
        <tr r="H9" s="2"/>
      </tp>
      <tp t="s">
        <v>#N/A N/A</v>
        <stp/>
        <stp>BDP|9154808792743677855</stp>
        <tr r="G11" s="2"/>
      </tp>
      <tp t="s">
        <v>#N/A N/A</v>
        <stp/>
        <stp>BDP|8488664323876292937</stp>
        <tr r="H32" s="2"/>
      </tp>
      <tp t="s">
        <v>#N/A N/A</v>
        <stp/>
        <stp>BDP|2094566810415125063</stp>
        <tr r="D2" s="2"/>
      </tp>
      <tp t="s">
        <v>#N/A N/A</v>
        <stp/>
        <stp>BDP|9071927210884761632</stp>
        <tr r="I38" s="2"/>
      </tp>
      <tp>
        <v>6921.46</v>
        <stp/>
        <stp>BDP|2596990609892593565|22</stp>
        <stp>SPX Index</stp>
        <stp>LAST_PRICE</stp>
        <tr r="C2" s="2"/>
      </tp>
      <tp t="s">
        <v>#N/A N/A</v>
        <stp/>
        <stp>BDP|79426159024995079</stp>
        <tr r="G2" s="2"/>
      </tp>
      <tp t="s">
        <v>#N/A N/A</v>
        <stp/>
        <stp>BDP|357729521474728481</stp>
        <tr r="G40" s="2"/>
      </tp>
      <tp t="s">
        <v>#N/A N/A</v>
        <stp/>
        <stp>BDP|480389239997635209</stp>
        <tr r="C34" s="2"/>
      </tp>
      <tp t="s">
        <v>#N/A N/A</v>
        <stp/>
        <stp>BDP|760440623146666554</stp>
        <tr r="F34" s="2"/>
      </tp>
      <tp t="s">
        <v>#N/A N/A</v>
        <stp/>
        <stp>BDP|483229239342525738</stp>
        <tr r="F17" s="2"/>
      </tp>
      <tp t="s">
        <v>#N/A N/A</v>
        <stp/>
        <stp>BDP|299636303602419036</stp>
        <tr r="C25" s="2"/>
      </tp>
      <tp t="s">
        <v>#N/A N/A</v>
        <stp/>
        <stp>BDP|310580161743281787</stp>
        <tr r="H42" s="2"/>
      </tp>
      <tp t="s">
        <v>#N/A N/A</v>
        <stp/>
        <stp>BDP|947780228852389168</stp>
        <tr r="D19" s="2"/>
      </tp>
      <tp t="s">
        <v>#N/A N/A</v>
        <stp/>
        <stp>BDP|847331005892328754</stp>
        <tr r="I17" s="2"/>
      </tp>
      <tp t="s">
        <v>#N/A N/A</v>
        <stp/>
        <stp>BDP|242518510675506727</stp>
        <tr r="H33" s="2"/>
      </tp>
      <tp t="s">
        <v>#N/A N/A</v>
        <stp/>
        <stp>BDP|297532439996291070</stp>
        <tr r="I35" s="2"/>
      </tp>
      <tp t="s">
        <v>#N/A N/A</v>
        <stp/>
        <stp>BDP|364995093153659099</stp>
        <tr r="D31" s="2"/>
      </tp>
      <tp t="s">
        <v>#N/A N/A</v>
        <stp/>
        <stp>BDP|467282091859039011</stp>
        <tr r="I42" s="2"/>
      </tp>
      <tp t="s">
        <v>#N/A N/A</v>
        <stp/>
        <stp>BDP|398813434321843671</stp>
        <tr r="E8" s="2"/>
      </tp>
      <tp t="s">
        <v>#N/A N/A</v>
        <stp/>
        <stp>BDP|722408630037416887</stp>
        <tr r="F11" s="2"/>
      </tp>
      <tp t="s">
        <v>#N/A N/A</v>
        <stp/>
        <stp>BDP|457871624171042199</stp>
        <tr r="F1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96" zoomScaleNormal="96" workbookViewId="0">
      <selection activeCell="G38" sqref="G38"/>
    </sheetView>
  </sheetViews>
  <sheetFormatPr defaultRowHeight="15" x14ac:dyDescent="0.25"/>
  <cols>
    <col min="1" max="1" width="17.140625" customWidth="1"/>
    <col min="2" max="2" width="19" customWidth="1"/>
    <col min="3" max="3" width="17" customWidth="1"/>
    <col min="4" max="4" width="15.7109375" customWidth="1"/>
    <col min="5" max="5" width="8.5703125" customWidth="1"/>
    <col min="6" max="6" width="54.85546875" customWidth="1"/>
    <col min="7" max="7" width="12.5703125" customWidth="1"/>
    <col min="8" max="8" width="7.42578125" customWidth="1"/>
    <col min="9" max="9" width="19" customWidth="1"/>
  </cols>
  <sheetData>
    <row r="1" spans="1:9" x14ac:dyDescent="0.25">
      <c r="A1" s="1" t="s">
        <v>0</v>
      </c>
      <c r="B1" s="1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300</v>
      </c>
      <c r="C2">
        <f>_xll.BDP("SPX Index","LAST_PRICE")</f>
        <v>6921.46</v>
      </c>
      <c r="D2" t="str">
        <f>_xll.BDP("SPX Index","RT_PX_CHG_NET_1D")</f>
        <v>#N/A Requesting Data...</v>
      </c>
      <c r="E2" t="str">
        <f>_xll.BDP("SPX Index","RT_PX_CHG_PCT_1D")</f>
        <v>#N/A Requesting Data...</v>
      </c>
      <c r="F2" t="str">
        <f>_xll.BDP("SPX Index","NAME")</f>
        <v>#N/A Requesting Data...</v>
      </c>
      <c r="G2" t="str">
        <f>_xll.BDP("SPX Index","REL_YTD")</f>
        <v>#N/A Field Not Applicable</v>
      </c>
      <c r="H2" t="str">
        <f>_xll.BDP("SPX Index","CRNCY")</f>
        <v>#N/A Requesting Data...</v>
      </c>
      <c r="I2" t="str">
        <f>_xll.BDP("SPX Index","SECURITY_TYP")</f>
        <v>#N/A Requesting Data...</v>
      </c>
    </row>
    <row r="3" spans="1:9" x14ac:dyDescent="0.25">
      <c r="A3" t="s">
        <v>10</v>
      </c>
      <c r="B3">
        <v>50</v>
      </c>
      <c r="C3" t="str">
        <f>_xll.BDP("NVDA US Equity","LAST_PRICE")</f>
        <v>#N/A Requesting Data...</v>
      </c>
      <c r="D3" t="str">
        <f>_xll.BDP("NVDA US Equity","RT_PX_CHG_NET_1D")</f>
        <v>#N/A Requesting Data...</v>
      </c>
      <c r="E3" t="str">
        <f>_xll.BDP("NVDA US Equity","RT_PX_CHG_PCT_1D")</f>
        <v>#N/A Requesting Data...</v>
      </c>
      <c r="F3" t="str">
        <f>_xll.BDP("NVDA US Equity","NAME")</f>
        <v>#N/A Requesting Data...</v>
      </c>
      <c r="G3">
        <f>_xll.BDP("NVDA US Equity","REL_YTD")</f>
        <v>-1.8717060000000001</v>
      </c>
      <c r="H3" t="str">
        <f>_xll.BDP("NVDA US Equity","CRNCY")</f>
        <v>#N/A Requesting Data...</v>
      </c>
      <c r="I3" t="str">
        <f>_xll.BDP("NVDA US Equity","SECURITY_TYP")</f>
        <v>#N/A Requesting Data...</v>
      </c>
    </row>
    <row r="4" spans="1:9" x14ac:dyDescent="0.25">
      <c r="A4" t="s">
        <v>11</v>
      </c>
      <c r="B4">
        <v>50</v>
      </c>
      <c r="C4" t="str">
        <f>_xll.BDP("AMD US Equity","LAST_PRICE")</f>
        <v>#N/A Requesting Data...</v>
      </c>
      <c r="D4" t="str">
        <f>_xll.BDP("AMD US Equity","RT_PX_CHG_NET_1D")</f>
        <v>#N/A Requesting Data...</v>
      </c>
      <c r="E4" t="str">
        <f>_xll.BDP("AMD US Equity","RT_PX_CHG_PCT_1D")</f>
        <v>#N/A Requesting Data...</v>
      </c>
      <c r="F4" t="str">
        <f>_xll.BDP("AMD US Equity","NAME")</f>
        <v>#N/A Requesting Data...</v>
      </c>
      <c r="G4">
        <f>_xll.BDP("AMD US Equity","REL_YTD")</f>
        <v>-5.4754740000000002</v>
      </c>
      <c r="H4" t="str">
        <f>_xll.BDP("AMD US Equity","CRNCY")</f>
        <v>USD</v>
      </c>
      <c r="I4" t="str">
        <f>_xll.BDP("AMD US Equity","SECURITY_TYP")</f>
        <v>#N/A Requesting Data...</v>
      </c>
    </row>
    <row r="5" spans="1:9" x14ac:dyDescent="0.25">
      <c r="A5" t="s">
        <v>12</v>
      </c>
      <c r="B5">
        <v>100</v>
      </c>
      <c r="C5" t="str">
        <f>_xll.BDP("UKX Index","LAST_PRICE")</f>
        <v>#N/A Requesting Data...</v>
      </c>
      <c r="D5" t="str">
        <f>_xll.BDP("UKX Index","RT_PX_CHG_NET_1D")</f>
        <v>#N/A Requesting Data...</v>
      </c>
      <c r="E5" t="str">
        <f>_xll.BDP("UKX Index","RT_PX_CHG_PCT_1D")</f>
        <v>#N/A Requesting Data...</v>
      </c>
      <c r="F5" t="str">
        <f>_xll.BDP("UKX Index","NAME")</f>
        <v>FTSE 100 INDEX</v>
      </c>
      <c r="G5" t="str">
        <f>_xll.BDP("UKX Index","REL_YTD")</f>
        <v>#N/A Field Not Applicable</v>
      </c>
      <c r="H5" t="str">
        <f>_xll.BDP("UKX Index","CRNCY")</f>
        <v>#N/A Requesting Data...</v>
      </c>
      <c r="I5" t="str">
        <f>_xll.BDP("UKX Index","SECURITY_TYP")</f>
        <v>#N/A Requesting Data...</v>
      </c>
    </row>
    <row r="6" spans="1:9" x14ac:dyDescent="0.25">
      <c r="A6" t="s">
        <v>13</v>
      </c>
      <c r="B6">
        <v>300</v>
      </c>
      <c r="C6" t="str">
        <f>_xll.BDP("IGLN LN Equity","LAST_PRICE")</f>
        <v>#N/A Requesting Data...</v>
      </c>
      <c r="D6" t="str">
        <f>_xll.BDP("IGLN LN Equity","RT_PX_CHG_NET_1D")</f>
        <v>#N/A Requesting Data...</v>
      </c>
      <c r="E6" t="str">
        <f>_xll.BDP("IGLN LN Equity","RT_PX_CHG_PCT_1D")</f>
        <v>#N/A Requesting Data...</v>
      </c>
      <c r="F6" t="str">
        <f>_xll.BDP("IGLN LN Equity","NAME")</f>
        <v>#N/A Requesting Data...</v>
      </c>
      <c r="G6" t="str">
        <f>_xll.BDP("IGLN LN Equity","REL_YTD")</f>
        <v>#N/A Requesting Data...</v>
      </c>
      <c r="H6" t="str">
        <f>_xll.BDP("IGLN LN Equity","CRNCY")</f>
        <v>#N/A Requesting Data...</v>
      </c>
      <c r="I6" t="str">
        <f>_xll.BDP("IGLN LN Equity","SECURITY_TYP")</f>
        <v>#N/A Requesting Data...</v>
      </c>
    </row>
    <row r="7" spans="1:9" x14ac:dyDescent="0.25">
      <c r="A7" t="s">
        <v>14</v>
      </c>
      <c r="B7">
        <v>300</v>
      </c>
      <c r="C7" t="str">
        <f>_xll.BDP("MINE LN Equity","LAST_PRICE")</f>
        <v>#N/A Requesting Data...</v>
      </c>
      <c r="D7" t="str">
        <f>_xll.BDP("MINE LN Equity","RT_PX_CHG_NET_1D")</f>
        <v>#N/A Requesting Data...</v>
      </c>
      <c r="E7" t="str">
        <f>_xll.BDP("MINE LN Equity","RT_PX_CHG_PCT_1D")</f>
        <v>#N/A Requesting Data...</v>
      </c>
      <c r="F7" t="str">
        <f>_xll.BDP("MINE LN Equity","NAME")</f>
        <v>#N/A Requesting Data...</v>
      </c>
      <c r="G7" t="str">
        <f>_xll.BDP("MINE LN Equity","REL_YTD")</f>
        <v>#N/A Requesting Data...</v>
      </c>
      <c r="H7" t="str">
        <f>_xll.BDP("MINE LN Equity","CRNCY")</f>
        <v>#N/A Requesting Data...</v>
      </c>
      <c r="I7" t="str">
        <f>_xll.BDP("MINE LN Equity","SECURITY_TYP")</f>
        <v>#N/A Requesting Data...</v>
      </c>
    </row>
    <row r="8" spans="1:9" x14ac:dyDescent="0.25">
      <c r="A8" t="s">
        <v>15</v>
      </c>
      <c r="B8">
        <v>100</v>
      </c>
      <c r="C8" t="str">
        <f>_xll.BDP("CBUK GY Equity","LAST_PRICE")</f>
        <v>#N/A Requesting Data...</v>
      </c>
      <c r="D8" t="str">
        <f>_xll.BDP("CBUK GY Equity","RT_PX_CHG_NET_1D")</f>
        <v>#N/A Requesting Data...</v>
      </c>
      <c r="E8" t="str">
        <f>_xll.BDP("CBUK GY Equity","RT_PX_CHG_PCT_1D")</f>
        <v>#N/A Requesting Data...</v>
      </c>
      <c r="F8" t="str">
        <f>_xll.BDP("CBUK GY Equity","NAME")</f>
        <v>ISHARES CHINA TECH USD ACC</v>
      </c>
      <c r="G8" t="str">
        <f>_xll.BDP("CBUK GY Equity","REL_YTD")</f>
        <v>#N/A Requesting Data...</v>
      </c>
      <c r="H8" t="str">
        <f>_xll.BDP("CBUK GY Equity","CRNCY")</f>
        <v>#N/A Requesting Data...</v>
      </c>
      <c r="I8" t="str">
        <f>_xll.BDP("CBUK GY Equity","SECURITY_TYP")</f>
        <v>#N/A Requesting Data...</v>
      </c>
    </row>
    <row r="9" spans="1:9" x14ac:dyDescent="0.25">
      <c r="A9" t="s">
        <v>16</v>
      </c>
      <c r="B9">
        <v>100</v>
      </c>
      <c r="C9" t="str">
        <f>_xll.BDP("FXAC NA Equity","LAST_PRICE")</f>
        <v>#N/A Requesting Data...</v>
      </c>
      <c r="D9" t="str">
        <f>_xll.BDP("FXAC NA Equity","RT_PX_CHG_NET_1D")</f>
        <v>#N/A Requesting Data...</v>
      </c>
      <c r="E9" t="str">
        <f>_xll.BDP("FXAC NA Equity","RT_PX_CHG_PCT_1D")</f>
        <v>#N/A Requesting Data...</v>
      </c>
      <c r="F9" t="str">
        <f>_xll.BDP("FXAC NA Equity","NAME")</f>
        <v>ISHARES CHINA LARGE CAP USDA</v>
      </c>
      <c r="G9" t="str">
        <f>_xll.BDP("FXAC NA Equity","REL_YTD")</f>
        <v>#N/A Requesting Data...</v>
      </c>
      <c r="H9" t="str">
        <f>_xll.BDP("FXAC NA Equity","CRNCY")</f>
        <v>#N/A Requesting Data...</v>
      </c>
      <c r="I9" t="str">
        <f>_xll.BDP("FXAC NA Equity","SECURITY_TYP")</f>
        <v>#N/A Requesting Data...</v>
      </c>
    </row>
    <row r="10" spans="1:9" x14ac:dyDescent="0.25">
      <c r="A10" t="s">
        <v>17</v>
      </c>
      <c r="B10">
        <v>10</v>
      </c>
      <c r="C10" t="str">
        <f>_xll.BDP("2899 HK Equity","LAST_PRICE")</f>
        <v>#N/A Requesting Data...</v>
      </c>
      <c r="D10" t="str">
        <f>_xll.BDP("2899 HK Equity","RT_PX_CHG_NET_1D")</f>
        <v>#N/A Requesting Data...</v>
      </c>
      <c r="E10" t="str">
        <f>_xll.BDP("2899 HK Equity","RT_PX_CHG_PCT_1D")</f>
        <v>#N/A Requesting Data...</v>
      </c>
      <c r="F10" t="str">
        <f>_xll.BDP("2899 HK Equity","NAME")</f>
        <v>ZIJIN MINING GROUP CO LTD-H</v>
      </c>
      <c r="G10" t="str">
        <f>_xll.BDP("2899 HK Equity","REL_YTD")</f>
        <v>#N/A Requesting Data...</v>
      </c>
      <c r="H10" t="str">
        <f>_xll.BDP("2899 HK Equity","CRNCY")</f>
        <v>#N/A Requesting Data...</v>
      </c>
      <c r="I10" t="str">
        <f>_xll.BDP("2899 HK Equity","SECURITY_TYP")</f>
        <v>#N/A Requesting Data...</v>
      </c>
    </row>
    <row r="11" spans="1:9" x14ac:dyDescent="0.25">
      <c r="A11" t="s">
        <v>18</v>
      </c>
      <c r="B11">
        <v>20</v>
      </c>
      <c r="C11" t="str">
        <f>_xll.BDP("AAPL US Equity","LAST_PRICE")</f>
        <v>#N/A Requesting Data...</v>
      </c>
      <c r="D11" t="str">
        <f>_xll.BDP("AAPL US Equity","RT_PX_CHG_NET_1D")</f>
        <v>#N/A Requesting Data...</v>
      </c>
      <c r="E11" t="str">
        <f>_xll.BDP("AAPL US Equity","RT_PX_CHG_PCT_1D")</f>
        <v>#N/A Requesting Data...</v>
      </c>
      <c r="F11" t="str">
        <f>_xll.BDP("AAPL US Equity","NAME")</f>
        <v>APPLE INC</v>
      </c>
      <c r="G11" t="str">
        <f>_xll.BDP("AAPL US Equity","REL_YTD")</f>
        <v>#N/A Requesting Data...</v>
      </c>
      <c r="H11" t="str">
        <f>_xll.BDP("AAPL US Equity","CRNCY")</f>
        <v>#N/A Requesting Data...</v>
      </c>
      <c r="I11" t="str">
        <f>_xll.BDP("AAPL US Equity","SECURITY_TYP")</f>
        <v>#N/A Requesting Data...</v>
      </c>
    </row>
    <row r="12" spans="1:9" x14ac:dyDescent="0.25">
      <c r="A12" t="s">
        <v>19</v>
      </c>
      <c r="B12">
        <v>20</v>
      </c>
      <c r="C12" t="str">
        <f>_xll.BDP("LLY US Equity","LAST_PRICE")</f>
        <v>#N/A Requesting Data...</v>
      </c>
      <c r="D12" t="str">
        <f>_xll.BDP("LLY US Equity","RT_PX_CHG_NET_1D")</f>
        <v>#N/A Requesting Data...</v>
      </c>
      <c r="E12" t="str">
        <f>_xll.BDP("LLY US Equity","RT_PX_CHG_PCT_1D")</f>
        <v>#N/A Requesting Data...</v>
      </c>
      <c r="F12" t="str">
        <f>_xll.BDP("LLY US Equity","NAME")</f>
        <v>ELI LILLY &amp; CO</v>
      </c>
      <c r="G12" t="str">
        <f>_xll.BDP("LLY US Equity","REL_YTD")</f>
        <v>#N/A Requesting Data...</v>
      </c>
      <c r="H12" t="str">
        <f>_xll.BDP("LLY US Equity","CRNCY")</f>
        <v>#N/A Requesting Data...</v>
      </c>
      <c r="I12" t="str">
        <f>_xll.BDP("LLY US Equity","SECURITY_TYP")</f>
        <v>#N/A Requesting Data...</v>
      </c>
    </row>
    <row r="13" spans="1:9" x14ac:dyDescent="0.25">
      <c r="A13" t="s">
        <v>20</v>
      </c>
      <c r="B13">
        <v>20</v>
      </c>
      <c r="C13" t="str">
        <f>_xll.BDP("JNJ US Equity","LAST_PRICE")</f>
        <v>#N/A Requesting Data...</v>
      </c>
      <c r="D13" t="str">
        <f>_xll.BDP("JNJ US Equity","RT_PX_CHG_NET_1D")</f>
        <v>#N/A Requesting Data...</v>
      </c>
      <c r="E13" t="str">
        <f>_xll.BDP("JNJ US Equity","RT_PX_CHG_PCT_1D")</f>
        <v>#N/A Requesting Data...</v>
      </c>
      <c r="F13" t="str">
        <f>_xll.BDP("JNJ US Equity","NAME")</f>
        <v>JOHNSON &amp; JOHNSON</v>
      </c>
      <c r="G13" t="str">
        <f>_xll.BDP("JNJ US Equity","REL_YTD")</f>
        <v>#N/A Requesting Data...</v>
      </c>
      <c r="H13" t="str">
        <f>_xll.BDP("JNJ US Equity","CRNCY")</f>
        <v>#N/A Requesting Data...</v>
      </c>
      <c r="I13" t="str">
        <f>_xll.BDP("JNJ US Equity","SECURITY_TYP")</f>
        <v>#N/A Requesting Data...</v>
      </c>
    </row>
    <row r="14" spans="1:9" x14ac:dyDescent="0.25">
      <c r="A14" t="s">
        <v>21</v>
      </c>
      <c r="B14">
        <v>20</v>
      </c>
      <c r="C14" t="str">
        <f>_xll.BDP("PFE US Equity","LAST_PRICE")</f>
        <v>#N/A Requesting Data...</v>
      </c>
      <c r="D14" t="str">
        <f>_xll.BDP("PFE US Equity","RT_PX_CHG_NET_1D")</f>
        <v>#N/A Requesting Data...</v>
      </c>
      <c r="E14" t="str">
        <f>_xll.BDP("PFE US Equity","RT_PX_CHG_PCT_1D")</f>
        <v>#N/A Requesting Data...</v>
      </c>
      <c r="F14" t="str">
        <f>_xll.BDP("PFE US Equity","NAME")</f>
        <v>#N/A Requesting Data...</v>
      </c>
      <c r="G14" t="str">
        <f>_xll.BDP("PFE US Equity","REL_YTD")</f>
        <v>#N/A Requesting Data...</v>
      </c>
      <c r="H14" t="str">
        <f>_xll.BDP("PFE US Equity","CRNCY")</f>
        <v>#N/A Requesting Data...</v>
      </c>
      <c r="I14" t="str">
        <f>_xll.BDP("PFE US Equity","SECURITY_TYP")</f>
        <v>#N/A Requesting Data...</v>
      </c>
    </row>
    <row r="15" spans="1:9" x14ac:dyDescent="0.25">
      <c r="A15" t="s">
        <v>22</v>
      </c>
      <c r="B15">
        <v>20</v>
      </c>
      <c r="C15" t="str">
        <f>_xll.BDP("OGN US Equity","LAST_PRICE")</f>
        <v>#N/A Requesting Data...</v>
      </c>
      <c r="D15" t="str">
        <f>_xll.BDP("OGN US Equity","RT_PX_CHG_NET_1D")</f>
        <v>#N/A Requesting Data...</v>
      </c>
      <c r="E15" t="str">
        <f>_xll.BDP("OGN US Equity","RT_PX_CHG_PCT_1D")</f>
        <v>#N/A Requesting Data...</v>
      </c>
      <c r="F15" t="str">
        <f>_xll.BDP("OGN US Equity","NAME")</f>
        <v>#N/A Requesting Data...</v>
      </c>
      <c r="G15" t="str">
        <f>_xll.BDP("OGN US Equity","REL_YTD")</f>
        <v>#N/A Requesting Data...</v>
      </c>
      <c r="H15" t="str">
        <f>_xll.BDP("OGN US Equity","CRNCY")</f>
        <v>#N/A Requesting Data...</v>
      </c>
      <c r="I15" t="str">
        <f>_xll.BDP("OGN US Equity","SECURITY_TYP")</f>
        <v>#N/A Requesting Data...</v>
      </c>
    </row>
    <row r="16" spans="1:9" x14ac:dyDescent="0.25">
      <c r="A16" t="s">
        <v>23</v>
      </c>
      <c r="B16">
        <v>20</v>
      </c>
      <c r="C16" t="str">
        <f>_xll.BDP("3750 HK Equity","LAST_PRICE")</f>
        <v>#N/A Requesting Data...</v>
      </c>
      <c r="D16" t="str">
        <f>_xll.BDP("3750 HK Equity","RT_PX_CHG_NET_1D")</f>
        <v>#N/A Requesting Data...</v>
      </c>
      <c r="E16" t="str">
        <f>_xll.BDP("3750 HK Equity","RT_PX_CHG_PCT_1D")</f>
        <v>#N/A Requesting Data...</v>
      </c>
      <c r="F16" t="str">
        <f>_xll.BDP("3750 HK Equity","NAME")</f>
        <v>#N/A Requesting Data...</v>
      </c>
      <c r="G16" t="str">
        <f>_xll.BDP("3750 HK Equity","REL_YTD")</f>
        <v>#N/A Requesting Data...</v>
      </c>
      <c r="H16" t="str">
        <f>_xll.BDP("3750 HK Equity","CRNCY")</f>
        <v>#N/A Requesting Data...</v>
      </c>
      <c r="I16" t="str">
        <f>_xll.BDP("3750 HK Equity","SECURITY_TYP")</f>
        <v>#N/A Requesting Data...</v>
      </c>
    </row>
    <row r="17" spans="1:9" x14ac:dyDescent="0.25">
      <c r="A17" t="s">
        <v>24</v>
      </c>
      <c r="B17">
        <v>20</v>
      </c>
      <c r="C17" t="str">
        <f>_xll.BDP("META US Equity","LAST_PRICE")</f>
        <v>#N/A Requesting Data...</v>
      </c>
      <c r="D17" t="str">
        <f>_xll.BDP("META US Equity","RT_PX_CHG_NET_1D")</f>
        <v>#N/A Requesting Data...</v>
      </c>
      <c r="E17" t="str">
        <f>_xll.BDP("META US Equity","RT_PX_CHG_PCT_1D")</f>
        <v>#N/A Requesting Data...</v>
      </c>
      <c r="F17" t="str">
        <f>_xll.BDP("META US Equity","NAME")</f>
        <v>#N/A Requesting Data...</v>
      </c>
      <c r="G17" t="str">
        <f>_xll.BDP("META US Equity","REL_YTD")</f>
        <v>#N/A Requesting Data...</v>
      </c>
      <c r="H17" t="str">
        <f>_xll.BDP("META US Equity","CRNCY")</f>
        <v>#N/A Requesting Data...</v>
      </c>
      <c r="I17" t="str">
        <f>_xll.BDP("META US Equity","SECURITY_TYP")</f>
        <v>#N/A Requesting Data...</v>
      </c>
    </row>
    <row r="18" spans="1:9" x14ac:dyDescent="0.25">
      <c r="A18" t="s">
        <v>25</v>
      </c>
      <c r="B18">
        <v>20</v>
      </c>
      <c r="C18" t="str">
        <f>_xll.BDP("GOOGL US Equity","LAST_PRICE")</f>
        <v>#N/A Requesting Data...</v>
      </c>
      <c r="D18" t="str">
        <f>_xll.BDP("GOOGL US Equity","RT_PX_CHG_NET_1D")</f>
        <v>#N/A Requesting Data...</v>
      </c>
      <c r="E18" t="str">
        <f>_xll.BDP("GOOGL US Equity","RT_PX_CHG_PCT_1D")</f>
        <v>#N/A Requesting Data...</v>
      </c>
      <c r="F18" t="str">
        <f>_xll.BDP("GOOGL US Equity","NAME")</f>
        <v>#N/A Requesting Data...</v>
      </c>
      <c r="G18" t="str">
        <f>_xll.BDP("GOOGL US Equity","REL_YTD")</f>
        <v>#N/A Requesting Data...</v>
      </c>
      <c r="H18" t="str">
        <f>_xll.BDP("GOOGL US Equity","CRNCY")</f>
        <v>#N/A Requesting Data...</v>
      </c>
      <c r="I18" t="str">
        <f>_xll.BDP("GOOGL US Equity","SECURITY_TYP")</f>
        <v>#N/A Requesting Data...</v>
      </c>
    </row>
    <row r="19" spans="1:9" x14ac:dyDescent="0.25">
      <c r="A19" t="s">
        <v>26</v>
      </c>
      <c r="B19">
        <v>20</v>
      </c>
      <c r="C19" t="str">
        <f>_xll.BDP("AIR FP Equity","LAST_PRICE")</f>
        <v>#N/A Requesting Data...</v>
      </c>
      <c r="D19" t="str">
        <f>_xll.BDP("AIR FP Equity","RT_PX_CHG_NET_1D")</f>
        <v>#N/A Requesting Data...</v>
      </c>
      <c r="E19" t="str">
        <f>_xll.BDP("AIR FP Equity","RT_PX_CHG_PCT_1D")</f>
        <v>#N/A Requesting Data...</v>
      </c>
      <c r="F19" t="str">
        <f>_xll.BDP("AIR FP Equity","NAME")</f>
        <v>#N/A Requesting Data...</v>
      </c>
      <c r="G19" t="str">
        <f>_xll.BDP("AIR FP Equity","REL_YTD")</f>
        <v>#N/A Requesting Data...</v>
      </c>
      <c r="H19" t="str">
        <f>_xll.BDP("AIR FP Equity","CRNCY")</f>
        <v>#N/A Requesting Data...</v>
      </c>
      <c r="I19" t="str">
        <f>_xll.BDP("AIR FP Equity","SECURITY_TYP")</f>
        <v>#N/A Requesting Data...</v>
      </c>
    </row>
    <row r="20" spans="1:9" x14ac:dyDescent="0.25">
      <c r="A20" t="s">
        <v>27</v>
      </c>
      <c r="B20">
        <v>20</v>
      </c>
      <c r="C20" t="str">
        <f>_xll.BDP("BA US Equity","LAST_PRICE")</f>
        <v>#N/A Requesting Data...</v>
      </c>
      <c r="D20" t="str">
        <f>_xll.BDP("BA US Equity","RT_PX_CHG_NET_1D")</f>
        <v>#N/A Requesting Data...</v>
      </c>
      <c r="E20" t="str">
        <f>_xll.BDP("BA US Equity","RT_PX_CHG_PCT_1D")</f>
        <v>#N/A Requesting Data...</v>
      </c>
      <c r="F20" t="str">
        <f>_xll.BDP("BA US Equity","NAME")</f>
        <v>#N/A Requesting Data...</v>
      </c>
      <c r="G20" t="str">
        <f>_xll.BDP("BA US Equity","REL_YTD")</f>
        <v>#N/A Requesting Data...</v>
      </c>
      <c r="H20" t="str">
        <f>_xll.BDP("BA US Equity","CRNCY")</f>
        <v>#N/A Requesting Data...</v>
      </c>
      <c r="I20" t="str">
        <f>_xll.BDP("BA US Equity","SECURITY_TYP")</f>
        <v>#N/A Requesting Data...</v>
      </c>
    </row>
    <row r="21" spans="1:9" x14ac:dyDescent="0.25">
      <c r="A21" t="s">
        <v>28</v>
      </c>
      <c r="B21">
        <v>20</v>
      </c>
      <c r="C21" t="str">
        <f>_xll.BDP("BRITISH AIRWAYS CDS EUR SR 5Y Corp","LAST_PRICE")</f>
        <v>#N/A Requesting Data...</v>
      </c>
      <c r="D21" t="str">
        <f>_xll.BDP("BRITISH AIRWAYS CDS EUR SR 5Y Corp","RT_PX_CHG_NET_1D")</f>
        <v>#N/A Requesting Data...</v>
      </c>
      <c r="E21" t="str">
        <f>_xll.BDP("BRITISH AIRWAYS CDS EUR SR 5Y Corp","RT_PX_CHG_PCT_1D")</f>
        <v>#N/A Requesting Data...</v>
      </c>
      <c r="F21" t="str">
        <f>_xll.BDP("BRITISH AIRWAYS CDS EUR SR 5Y Corp","NAME")</f>
        <v>#N/A Requesting Data...</v>
      </c>
      <c r="G21" t="str">
        <f>_xll.BDP("BRITISH AIRWAYS CDS EUR SR 5Y Corp","REL_YTD")</f>
        <v>#N/A Requesting Data...</v>
      </c>
      <c r="H21" t="str">
        <f>_xll.BDP("BRITISH AIRWAYS CDS EUR SR 5Y Corp","CRNCY")</f>
        <v>#N/A Requesting Data...</v>
      </c>
      <c r="I21" t="str">
        <f>_xll.BDP("BRITISH AIRWAYS CDS EUR SR 5Y Corp","SECURITY_TYP")</f>
        <v>#N/A Requesting Data...</v>
      </c>
    </row>
    <row r="22" spans="1:9" x14ac:dyDescent="0.25">
      <c r="A22" t="s">
        <v>29</v>
      </c>
      <c r="B22">
        <v>20</v>
      </c>
      <c r="C22" t="str">
        <f>_xll.BDP("RR/ LN Equity","LAST_PRICE")</f>
        <v>#N/A Requesting Data...</v>
      </c>
      <c r="D22" t="str">
        <f>_xll.BDP("RR/ LN Equity","RT_PX_CHG_NET_1D")</f>
        <v>#N/A Requesting Data...</v>
      </c>
      <c r="E22" t="str">
        <f>_xll.BDP("RR/ LN Equity","RT_PX_CHG_PCT_1D")</f>
        <v>#N/A Requesting Data...</v>
      </c>
      <c r="F22" t="str">
        <f>_xll.BDP("RR/ LN Equity","NAME")</f>
        <v>#N/A Requesting Data...</v>
      </c>
      <c r="G22" t="str">
        <f>_xll.BDP("RR/ LN Equity","REL_YTD")</f>
        <v>#N/A Requesting Data...</v>
      </c>
      <c r="H22" t="str">
        <f>_xll.BDP("RR/ LN Equity","CRNCY")</f>
        <v>#N/A Requesting Data...</v>
      </c>
      <c r="I22" t="str">
        <f>_xll.BDP("RR/ LN Equity","SECURITY_TYP")</f>
        <v>#N/A Requesting Data...</v>
      </c>
    </row>
    <row r="23" spans="1:9" x14ac:dyDescent="0.25">
      <c r="A23" t="s">
        <v>30</v>
      </c>
      <c r="B23">
        <v>20</v>
      </c>
      <c r="C23" t="str">
        <f>_xll.BDP("BA/ LN Equity","LAST_PRICE")</f>
        <v>#N/A Requesting Data...</v>
      </c>
      <c r="D23" t="str">
        <f>_xll.BDP("BA/ LN Equity","RT_PX_CHG_NET_1D")</f>
        <v>#N/A Requesting Data...</v>
      </c>
      <c r="E23" t="str">
        <f>_xll.BDP("BA/ LN Equity","RT_PX_CHG_PCT_1D")</f>
        <v>#N/A Requesting Data...</v>
      </c>
      <c r="F23" t="str">
        <f>_xll.BDP("BA/ LN Equity","NAME")</f>
        <v>#N/A Requesting Data...</v>
      </c>
      <c r="G23" t="str">
        <f>_xll.BDP("BA/ LN Equity","REL_YTD")</f>
        <v>#N/A Requesting Data...</v>
      </c>
      <c r="H23" t="str">
        <f>_xll.BDP("BA/ LN Equity","CRNCY")</f>
        <v>#N/A Requesting Data...</v>
      </c>
      <c r="I23" t="str">
        <f>_xll.BDP("BA/ LN Equity","SECURITY_TYP")</f>
        <v>#N/A Requesting Data...</v>
      </c>
    </row>
    <row r="24" spans="1:9" x14ac:dyDescent="0.25">
      <c r="A24" t="s">
        <v>31</v>
      </c>
      <c r="B24">
        <v>20</v>
      </c>
      <c r="C24" t="str">
        <f>_xll.BDP("MDT US Equity","LAST_PRICE")</f>
        <v>#N/A Requesting Data...</v>
      </c>
      <c r="D24" t="str">
        <f>_xll.BDP("MDT US Equity","RT_PX_CHG_NET_1D")</f>
        <v>#N/A Requesting Data...</v>
      </c>
      <c r="E24" t="str">
        <f>_xll.BDP("MDT US Equity","RT_PX_CHG_PCT_1D")</f>
        <v>#N/A Requesting Data...</v>
      </c>
      <c r="F24" t="str">
        <f>_xll.BDP("MDT US Equity","NAME")</f>
        <v>#N/A Requesting Data...</v>
      </c>
      <c r="G24" t="str">
        <f>_xll.BDP("MDT US Equity","REL_YTD")</f>
        <v>#N/A Requesting Data...</v>
      </c>
      <c r="H24" t="str">
        <f>_xll.BDP("MDT US Equity","CRNCY")</f>
        <v>#N/A Requesting Data...</v>
      </c>
      <c r="I24" t="str">
        <f>_xll.BDP("MDT US Equity","SECURITY_TYP")</f>
        <v>#N/A Requesting Data...</v>
      </c>
    </row>
    <row r="25" spans="1:9" x14ac:dyDescent="0.25">
      <c r="A25" t="s">
        <v>32</v>
      </c>
      <c r="B25">
        <v>100</v>
      </c>
      <c r="C25" t="str">
        <f>_xll.BDP("EMB US Equity","LAST_PRICE")</f>
        <v>#N/A Requesting Data...</v>
      </c>
      <c r="D25" t="str">
        <f>_xll.BDP("EMB US Equity","RT_PX_CHG_NET_1D")</f>
        <v>#N/A Requesting Data...</v>
      </c>
      <c r="E25" t="str">
        <f>_xll.BDP("EMB US Equity","RT_PX_CHG_PCT_1D")</f>
        <v>#N/A Requesting Data...</v>
      </c>
      <c r="F25" t="str">
        <f>_xll.BDP("EMB US Equity","NAME")</f>
        <v>#N/A Requesting Data...</v>
      </c>
      <c r="G25" t="str">
        <f>_xll.BDP("EMB US Equity","REL_YTD")</f>
        <v>#N/A Requesting Data...</v>
      </c>
      <c r="H25" t="str">
        <f>_xll.BDP("EMB US Equity","CRNCY")</f>
        <v>#N/A Requesting Data...</v>
      </c>
      <c r="I25" t="str">
        <f>_xll.BDP("EMB US Equity","SECURITY_TYP")</f>
        <v>#N/A Requesting Data...</v>
      </c>
    </row>
    <row r="26" spans="1:9" x14ac:dyDescent="0.25">
      <c r="A26" t="s">
        <v>33</v>
      </c>
      <c r="B26">
        <v>100</v>
      </c>
      <c r="C26" t="str">
        <f>_xll.BDP("CBU0 LN Equity","LAST_PRICE")</f>
        <v>#N/A Requesting Data...</v>
      </c>
      <c r="D26" t="str">
        <f>_xll.BDP("CBU0 LN Equity","RT_PX_CHG_NET_1D")</f>
        <v>#N/A Requesting Data...</v>
      </c>
      <c r="E26" t="str">
        <f>_xll.BDP("CBU0 LN Equity","RT_PX_CHG_PCT_1D")</f>
        <v>#N/A Requesting Data...</v>
      </c>
      <c r="F26" t="str">
        <f>_xll.BDP("CBU0 LN Equity","NAME")</f>
        <v>#N/A Requesting Data...</v>
      </c>
      <c r="G26" t="str">
        <f>_xll.BDP("CBU0 LN Equity","REL_YTD")</f>
        <v>#N/A Requesting Data...</v>
      </c>
      <c r="H26" t="str">
        <f>_xll.BDP("CBU0 LN Equity","CRNCY")</f>
        <v>#N/A Requesting Data...</v>
      </c>
      <c r="I26" t="str">
        <f>_xll.BDP("CBU0 LN Equity","SECURITY_TYP")</f>
        <v>#N/A Requesting Data...</v>
      </c>
    </row>
    <row r="27" spans="1:9" x14ac:dyDescent="0.25">
      <c r="A27" t="s">
        <v>34</v>
      </c>
      <c r="B27">
        <v>20</v>
      </c>
      <c r="C27" t="str">
        <f>_xll.BDP("PG US Equity","LAST_PRICE")</f>
        <v>#N/A Requesting Data...</v>
      </c>
      <c r="D27" t="str">
        <f>_xll.BDP("PG US Equity","RT_PX_CHG_NET_1D")</f>
        <v>#N/A Requesting Data...</v>
      </c>
      <c r="E27" t="str">
        <f>_xll.BDP("PG US Equity","RT_PX_CHG_PCT_1D")</f>
        <v>#N/A Requesting Data...</v>
      </c>
      <c r="F27" t="str">
        <f>_xll.BDP("PG US Equity","NAME")</f>
        <v>#N/A Requesting Data...</v>
      </c>
      <c r="G27" t="str">
        <f>_xll.BDP("PG US Equity","REL_YTD")</f>
        <v>#N/A Requesting Data...</v>
      </c>
      <c r="H27" t="str">
        <f>_xll.BDP("PG US Equity","CRNCY")</f>
        <v>#N/A Requesting Data...</v>
      </c>
      <c r="I27" t="str">
        <f>_xll.BDP("PG US Equity","SECURITY_TYP")</f>
        <v>#N/A Requesting Data...</v>
      </c>
    </row>
    <row r="28" spans="1:9" x14ac:dyDescent="0.25">
      <c r="A28" t="s">
        <v>35</v>
      </c>
      <c r="B28">
        <v>40</v>
      </c>
      <c r="C28" t="str">
        <f>_xll.BDP("AMZN US Equity","LAST_PRICE")</f>
        <v>#N/A Requesting Data...</v>
      </c>
      <c r="D28" t="str">
        <f>_xll.BDP("AMZN US Equity","RT_PX_CHG_NET_1D")</f>
        <v>#N/A Requesting Data...</v>
      </c>
      <c r="E28" t="str">
        <f>_xll.BDP("AMZN US Equity","RT_PX_CHG_PCT_1D")</f>
        <v>#N/A Requesting Data...</v>
      </c>
      <c r="F28" t="str">
        <f>_xll.BDP("AMZN US Equity","NAME")</f>
        <v>#N/A Requesting Data...</v>
      </c>
      <c r="G28" t="str">
        <f>_xll.BDP("AMZN US Equity","REL_YTD")</f>
        <v>#N/A Requesting Data...</v>
      </c>
      <c r="H28" t="str">
        <f>_xll.BDP("AMZN US Equity","CRNCY")</f>
        <v>#N/A Requesting Data...</v>
      </c>
      <c r="I28" t="str">
        <f>_xll.BDP("AMZN US Equity","SECURITY_TYP")</f>
        <v>#N/A Requesting Data...</v>
      </c>
    </row>
    <row r="29" spans="1:9" x14ac:dyDescent="0.25">
      <c r="A29" t="s">
        <v>36</v>
      </c>
      <c r="B29">
        <v>50</v>
      </c>
      <c r="C29" t="str">
        <f>_xll.BDP("NEXT US Equity","LAST_PRICE")</f>
        <v>#N/A Requesting Data...</v>
      </c>
      <c r="D29" t="str">
        <f>_xll.BDP("NEXT US Equity","RT_PX_CHG_NET_1D")</f>
        <v>#N/A Requesting Data...</v>
      </c>
      <c r="E29" t="str">
        <f>_xll.BDP("NEXT US Equity","RT_PX_CHG_PCT_1D")</f>
        <v>#N/A Requesting Data...</v>
      </c>
      <c r="F29" t="str">
        <f>_xll.BDP("NEXT US Equity","NAME")</f>
        <v>#N/A Requesting Data...</v>
      </c>
      <c r="G29" t="str">
        <f>_xll.BDP("NEXT US Equity","REL_YTD")</f>
        <v>#N/A Requesting Data...</v>
      </c>
      <c r="H29" t="str">
        <f>_xll.BDP("NEXT US Equity","CRNCY")</f>
        <v>#N/A Requesting Data...</v>
      </c>
      <c r="I29" t="str">
        <f>_xll.BDP("NEXT US Equity","SECURITY_TYP")</f>
        <v>#N/A Requesting Data...</v>
      </c>
    </row>
    <row r="30" spans="1:9" x14ac:dyDescent="0.25">
      <c r="A30" t="s">
        <v>37</v>
      </c>
      <c r="B30">
        <v>50</v>
      </c>
      <c r="C30" t="str">
        <f>_xll.BDP("SO US Equity","LAST_PRICE")</f>
        <v>#N/A Requesting Data...</v>
      </c>
      <c r="D30" t="str">
        <f>_xll.BDP("SO US Equity","RT_PX_CHG_NET_1D")</f>
        <v>#N/A Requesting Data...</v>
      </c>
      <c r="E30" t="str">
        <f>_xll.BDP("SO US Equity","RT_PX_CHG_PCT_1D")</f>
        <v>#N/A Requesting Data...</v>
      </c>
      <c r="F30" t="str">
        <f>_xll.BDP("SO US Equity","NAME")</f>
        <v>#N/A Requesting Data...</v>
      </c>
      <c r="G30" t="str">
        <f>_xll.BDP("SO US Equity","REL_YTD")</f>
        <v>#N/A Requesting Data...</v>
      </c>
      <c r="H30" t="str">
        <f>_xll.BDP("SO US Equity","CRNCY")</f>
        <v>#N/A Requesting Data...</v>
      </c>
      <c r="I30" t="str">
        <f>_xll.BDP("SO US Equity","SECURITY_TYP")</f>
        <v>#N/A Requesting Data...</v>
      </c>
    </row>
    <row r="31" spans="1:9" x14ac:dyDescent="0.25">
      <c r="A31" t="s">
        <v>38</v>
      </c>
      <c r="B31">
        <v>300</v>
      </c>
      <c r="C31" t="str">
        <f>_xll.BDP("JEMA LN Equity","LAST_PRICE")</f>
        <v>#N/A Requesting Data...</v>
      </c>
      <c r="D31" t="str">
        <f>_xll.BDP("JEMA LN Equity","RT_PX_CHG_NET_1D")</f>
        <v>#N/A Requesting Data...</v>
      </c>
      <c r="E31" t="str">
        <f>_xll.BDP("JEMA LN Equity","RT_PX_CHG_PCT_1D")</f>
        <v>#N/A Requesting Data...</v>
      </c>
      <c r="F31" t="str">
        <f>_xll.BDP("JEMA LN Equity","NAME")</f>
        <v>#N/A Requesting Data...</v>
      </c>
      <c r="G31" t="str">
        <f>_xll.BDP("JEMA LN Equity","REL_YTD")</f>
        <v>#N/A Requesting Data...</v>
      </c>
      <c r="H31" t="str">
        <f>_xll.BDP("JEMA LN Equity","CRNCY")</f>
        <v>#N/A Requesting Data...</v>
      </c>
      <c r="I31" t="str">
        <f>_xll.BDP("JEMA LN Equity","SECURITY_TYP")</f>
        <v>#N/A Requesting Data...</v>
      </c>
    </row>
    <row r="32" spans="1:9" x14ac:dyDescent="0.25">
      <c r="A32" t="s">
        <v>39</v>
      </c>
      <c r="B32">
        <v>20</v>
      </c>
      <c r="C32" t="str">
        <f>_xll.BDP("EMIRATES UH Equity","LAST_PRICE")</f>
        <v>#N/A Requesting Data...</v>
      </c>
      <c r="D32" t="str">
        <f>_xll.BDP("EMIRATES UH Equity","RT_PX_CHG_NET_1D")</f>
        <v>#N/A Requesting Data...</v>
      </c>
      <c r="E32" t="str">
        <f>_xll.BDP("EMIRATES UH Equity","RT_PX_CHG_PCT_1D")</f>
        <v>#N/A Requesting Data...</v>
      </c>
      <c r="F32" t="str">
        <f>_xll.BDP("EMIRATES UH Equity","NAME")</f>
        <v>#N/A Requesting Data...</v>
      </c>
      <c r="G32" t="str">
        <f>_xll.BDP("EMIRATES UH Equity","REL_YTD")</f>
        <v>#N/A Requesting Data...</v>
      </c>
      <c r="H32" t="str">
        <f>_xll.BDP("EMIRATES UH Equity","CRNCY")</f>
        <v>#N/A Requesting Data...</v>
      </c>
      <c r="I32" t="str">
        <f>_xll.BDP("EMIRATES UH Equity","SECURITY_TYP")</f>
        <v>#N/A Requesting Data...</v>
      </c>
    </row>
    <row r="33" spans="1:9" x14ac:dyDescent="0.25">
      <c r="A33" t="s">
        <v>40</v>
      </c>
      <c r="B33">
        <v>20</v>
      </c>
      <c r="C33" t="str">
        <f>_xll.BDP("KO US Equity","LAST_PRICE")</f>
        <v>#N/A Requesting Data...</v>
      </c>
      <c r="D33" t="str">
        <f>_xll.BDP("KO US Equity","RT_PX_CHG_NET_1D")</f>
        <v>#N/A Requesting Data...</v>
      </c>
      <c r="E33" t="str">
        <f>_xll.BDP("KO US Equity","RT_PX_CHG_PCT_1D")</f>
        <v>#N/A Requesting Data...</v>
      </c>
      <c r="F33" t="str">
        <f>_xll.BDP("KO US Equity","NAME")</f>
        <v>#N/A Requesting Data...</v>
      </c>
      <c r="G33" t="str">
        <f>_xll.BDP("KO US Equity","REL_YTD")</f>
        <v>#N/A Requesting Data...</v>
      </c>
      <c r="H33" t="str">
        <f>_xll.BDP("KO US Equity","CRNCY")</f>
        <v>#N/A Requesting Data...</v>
      </c>
      <c r="I33" t="str">
        <f>_xll.BDP("KO US Equity","SECURITY_TYP")</f>
        <v>#N/A Requesting Data...</v>
      </c>
    </row>
    <row r="34" spans="1:9" x14ac:dyDescent="0.25">
      <c r="A34" t="s">
        <v>41</v>
      </c>
      <c r="B34">
        <v>20</v>
      </c>
      <c r="C34" t="str">
        <f>_xll.BDP("CON GR Equity","LAST_PRICE")</f>
        <v>#N/A Requesting Data...</v>
      </c>
      <c r="D34" t="str">
        <f>_xll.BDP("CON GR Equity","RT_PX_CHG_NET_1D")</f>
        <v>#N/A Requesting Data...</v>
      </c>
      <c r="E34" t="str">
        <f>_xll.BDP("CON GR Equity","RT_PX_CHG_PCT_1D")</f>
        <v>#N/A Requesting Data...</v>
      </c>
      <c r="F34" t="str">
        <f>_xll.BDP("CON GR Equity","NAME")</f>
        <v>#N/A Requesting Data...</v>
      </c>
      <c r="G34" t="str">
        <f>_xll.BDP("CON GR Equity","REL_YTD")</f>
        <v>#N/A Requesting Data...</v>
      </c>
      <c r="H34" t="str">
        <f>_xll.BDP("CON GR Equity","CRNCY")</f>
        <v>#N/A Requesting Data...</v>
      </c>
      <c r="I34" t="str">
        <f>_xll.BDP("CON GR Equity","SECURITY_TYP")</f>
        <v>#N/A Requesting Data...</v>
      </c>
    </row>
    <row r="35" spans="1:9" x14ac:dyDescent="0.25">
      <c r="A35" t="s">
        <v>42</v>
      </c>
      <c r="B35">
        <v>20</v>
      </c>
      <c r="C35" t="str">
        <f>_xll.BDP("NFLX US Equity","LAST_PRICE")</f>
        <v>#N/A Requesting Data...</v>
      </c>
      <c r="D35" t="str">
        <f>_xll.BDP("NFLX US Equity","RT_PX_CHG_NET_1D")</f>
        <v>#N/A Requesting Data...</v>
      </c>
      <c r="E35" t="str">
        <f>_xll.BDP("NFLX US Equity","RT_PX_CHG_PCT_1D")</f>
        <v>#N/A Requesting Data...</v>
      </c>
      <c r="F35" t="str">
        <f>_xll.BDP("NFLX US Equity","NAME")</f>
        <v>#N/A Requesting Data...</v>
      </c>
      <c r="G35" t="str">
        <f>_xll.BDP("NFLX US Equity","REL_YTD")</f>
        <v>#N/A Requesting Data...</v>
      </c>
      <c r="H35" t="str">
        <f>_xll.BDP("NFLX US Equity","CRNCY")</f>
        <v>#N/A Requesting Data...</v>
      </c>
      <c r="I35" t="str">
        <f>_xll.BDP("NFLX US Equity","SECURITY_TYP")</f>
        <v>#N/A Requesting Data...</v>
      </c>
    </row>
    <row r="36" spans="1:9" x14ac:dyDescent="0.25">
      <c r="A36" t="s">
        <v>43</v>
      </c>
      <c r="B36">
        <v>20</v>
      </c>
      <c r="C36" t="str">
        <f>_xll.BDP("SBUX US Equity","LAST_PRICE")</f>
        <v>#N/A Requesting Data...</v>
      </c>
      <c r="D36" t="str">
        <f>_xll.BDP("SBUX US Equity","RT_PX_CHG_NET_1D")</f>
        <v>#N/A Requesting Data...</v>
      </c>
      <c r="E36" t="str">
        <f>_xll.BDP("SBUX US Equity","RT_PX_CHG_PCT_1D")</f>
        <v>#N/A Requesting Data...</v>
      </c>
      <c r="F36" t="str">
        <f>_xll.BDP("SBUX US Equity","NAME")</f>
        <v>#N/A Requesting Data...</v>
      </c>
      <c r="G36" t="str">
        <f>_xll.BDP("SBUX US Equity","REL_YTD")</f>
        <v>#N/A Requesting Data...</v>
      </c>
      <c r="H36" t="str">
        <f>_xll.BDP("SBUX US Equity","CRNCY")</f>
        <v>#N/A Requesting Data...</v>
      </c>
      <c r="I36" t="str">
        <f>_xll.BDP("SBUX US Equity","SECURITY_TYP")</f>
        <v>#N/A Requesting Data...</v>
      </c>
    </row>
    <row r="37" spans="1:9" x14ac:dyDescent="0.25">
      <c r="A37" t="s">
        <v>44</v>
      </c>
      <c r="B37">
        <v>50</v>
      </c>
      <c r="C37" t="str">
        <f>_xll.BDP("JGB1X SW Equity","LAST_PRICE")</f>
        <v>#N/A Requesting Data...</v>
      </c>
      <c r="D37" t="str">
        <f>_xll.BDP("JGB1X SW Equity","RT_PX_CHG_NET_1D")</f>
        <v>#N/A Requesting Data...</v>
      </c>
      <c r="E37" t="str">
        <f>_xll.BDP("JGB1X SW Equity","RT_PX_CHG_PCT_1D")</f>
        <v>#N/A Requesting Data...</v>
      </c>
      <c r="F37" t="str">
        <f>_xll.BDP("JGB1X SW Equity","NAME")</f>
        <v>#N/A Requesting Data...</v>
      </c>
      <c r="G37" t="str">
        <f>_xll.BDP("JGB1X SW Equity","REL_YTD")</f>
        <v>#N/A Requesting Data...</v>
      </c>
      <c r="H37" t="str">
        <f>_xll.BDP("JGB1X SW Equity","CRNCY")</f>
        <v>#N/A Requesting Data...</v>
      </c>
      <c r="I37" t="str">
        <f>_xll.BDP("JGB1X SW Equity","SECURITY_TYP")</f>
        <v>#N/A Requesting Data...</v>
      </c>
    </row>
    <row r="38" spans="1:9" x14ac:dyDescent="0.25">
      <c r="A38" t="s">
        <v>45</v>
      </c>
      <c r="B38">
        <v>0</v>
      </c>
      <c r="C38" t="str">
        <f>_xll.BDP("USDCNY Curncy","LAST_PRICE")</f>
        <v>#N/A Requesting Data...</v>
      </c>
      <c r="D38" t="str">
        <f>_xll.BDP("USDCNY Curncy","RT_PX_CHG_NET_1D")</f>
        <v>#N/A Requesting Data...</v>
      </c>
      <c r="E38">
        <f>_xll.BDP("USDCNY Curncy","RT_PX_CHG_PCT_1D")</f>
        <v>-3.5799998790025711E-2</v>
      </c>
      <c r="F38" t="str">
        <f>_xll.BDP("USDCNY Curncy","NAME")</f>
        <v>#N/A Requesting Data...</v>
      </c>
      <c r="G38" t="str">
        <f>_xll.BDP("USDCNY Curncy","REL_YTD")</f>
        <v>#N/A Requesting Data...</v>
      </c>
      <c r="H38" t="str">
        <f>_xll.BDP("USDCNY Curncy","CRNCY")</f>
        <v>#N/A Requesting Data...</v>
      </c>
      <c r="I38" t="str">
        <f>_xll.BDP("USDCNY Curncy","SECURITY_TYP")</f>
        <v>#N/A Requesting Data...</v>
      </c>
    </row>
    <row r="39" spans="1:9" x14ac:dyDescent="0.25">
      <c r="A39" t="s">
        <v>46</v>
      </c>
      <c r="B39">
        <v>0</v>
      </c>
      <c r="C39" t="str">
        <f>_xll.BDP("USDJPY Curncy","LAST_PRICE")</f>
        <v>#N/A Requesting Data...</v>
      </c>
      <c r="D39" t="str">
        <f>_xll.BDP("USDJPY Curncy","RT_PX_CHG_NET_1D")</f>
        <v>#N/A Requesting Data...</v>
      </c>
      <c r="E39" t="str">
        <f>_xll.BDP("USDJPY Curncy","RT_PX_CHG_PCT_1D")</f>
        <v>#N/A Requesting Data...</v>
      </c>
      <c r="F39" t="str">
        <f>_xll.BDP("USDJPY Curncy","NAME")</f>
        <v>#N/A Requesting Data...</v>
      </c>
      <c r="G39" t="str">
        <f>_xll.BDP("USDJPY Curncy","REL_YTD")</f>
        <v>#N/A Requesting Data...</v>
      </c>
      <c r="H39" t="str">
        <f>_xll.BDP("USDJPY Curncy","CRNCY")</f>
        <v>#N/A Requesting Data...</v>
      </c>
      <c r="I39" t="str">
        <f>_xll.BDP("USDJPY Curncy","SECURITY_TYP")</f>
        <v>#N/A Requesting Data...</v>
      </c>
    </row>
    <row r="40" spans="1:9" x14ac:dyDescent="0.25">
      <c r="A40" t="s">
        <v>47</v>
      </c>
      <c r="B40">
        <v>0</v>
      </c>
      <c r="C40" t="str">
        <f>_xll.BDP("USDHKD Curncy","LAST_PRICE")</f>
        <v>#N/A Requesting Data...</v>
      </c>
      <c r="D40" t="str">
        <f>_xll.BDP("USDHKD Curncy","RT_PX_CHG_NET_1D")</f>
        <v>#N/A Requesting Data...</v>
      </c>
      <c r="E40" t="str">
        <f>_xll.BDP("USDHKD Curncy","RT_PX_CHG_PCT_1D")</f>
        <v>#N/A Requesting Data...</v>
      </c>
      <c r="F40" t="str">
        <f>_xll.BDP("USDHKD Curncy","NAME")</f>
        <v>#N/A Requesting Data...</v>
      </c>
      <c r="G40" t="str">
        <f>_xll.BDP("USDHKD Curncy","REL_YTD")</f>
        <v>#N/A Field Not Applicable</v>
      </c>
      <c r="H40" t="str">
        <f>_xll.BDP("USDHKD Curncy","CRNCY")</f>
        <v>#N/A Requesting Data...</v>
      </c>
      <c r="I40" t="str">
        <f>_xll.BDP("USDHKD Curncy","SECURITY_TYP")</f>
        <v>#N/A Requesting Data...</v>
      </c>
    </row>
    <row r="41" spans="1:9" x14ac:dyDescent="0.25">
      <c r="A41" t="s">
        <v>48</v>
      </c>
      <c r="B41">
        <v>0</v>
      </c>
      <c r="C41" t="str">
        <f>_xll.BDP("GBPUSD Curncy","LAST_PRICE")</f>
        <v>#N/A Requesting Data...</v>
      </c>
      <c r="D41" t="str">
        <f>_xll.BDP("GBPUSD Curncy","RT_PX_CHG_NET_1D")</f>
        <v>#N/A Requesting Data...</v>
      </c>
      <c r="E41" t="str">
        <f>_xll.BDP("GBPUSD Curncy","RT_PX_CHG_PCT_1D")</f>
        <v>#N/A Requesting Data...</v>
      </c>
      <c r="F41" t="str">
        <f>_xll.BDP("GBPUSD Curncy","NAME")</f>
        <v>#N/A Requesting Data...</v>
      </c>
      <c r="G41" t="str">
        <f>_xll.BDP("GBPUSD Curncy","REL_YTD")</f>
        <v>#N/A Requesting Data...</v>
      </c>
      <c r="H41" t="str">
        <f>_xll.BDP("GBPUSD Curncy","CRNCY")</f>
        <v>#N/A Requesting Data...</v>
      </c>
      <c r="I41" t="str">
        <f>_xll.BDP("GBPUSD Curncy","SECURITY_TYP")</f>
        <v>#N/A Requesting Data...</v>
      </c>
    </row>
    <row r="42" spans="1:9" x14ac:dyDescent="0.25">
      <c r="A42" t="s">
        <v>49</v>
      </c>
      <c r="B42">
        <v>0</v>
      </c>
      <c r="C42" t="str">
        <f>_xll.BDP("EURUSD Curncy","LAST_PRICE")</f>
        <v>#N/A Requesting Data...</v>
      </c>
      <c r="D42" t="str">
        <f>_xll.BDP("EURUSD Curncy","RT_PX_CHG_NET_1D")</f>
        <v>#N/A Requesting Data...</v>
      </c>
      <c r="E42" t="str">
        <f>_xll.BDP("EURUSD Curncy","RT_PX_CHG_PCT_1D")</f>
        <v>#N/A Requesting Data...</v>
      </c>
      <c r="F42" t="str">
        <f>_xll.BDP("EURUSD Curncy","NAME")</f>
        <v>#N/A Requesting Data...</v>
      </c>
      <c r="G42" t="str">
        <f>_xll.BDP("EURUSD Curncy","REL_YTD")</f>
        <v>#N/A Requesting Data...</v>
      </c>
      <c r="H42" t="str">
        <f>_xll.BDP("EURUSD Curncy","CRNCY")</f>
        <v>#N/A Requesting Data...</v>
      </c>
      <c r="I42" t="str">
        <f>_xll.BDP("EURUSD Curncy","SECURITY_TYP")</f>
        <v>#N/A Requesting Data...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1546-0067-4BD5-BB64-9441A73B7661}">
  <dimension ref="A1:A42"/>
  <sheetViews>
    <sheetView topLeftCell="A37" workbookViewId="0">
      <selection activeCell="A38" sqref="A38"/>
    </sheetView>
  </sheetViews>
  <sheetFormatPr defaultRowHeight="15" x14ac:dyDescent="0.25"/>
  <cols>
    <col min="1" max="1" width="19" customWidth="1"/>
  </cols>
  <sheetData>
    <row r="1" spans="1:1" x14ac:dyDescent="0.25">
      <c r="A1" s="1" t="s">
        <v>1</v>
      </c>
    </row>
    <row r="2" spans="1:1" x14ac:dyDescent="0.25">
      <c r="A2">
        <v>300</v>
      </c>
    </row>
    <row r="3" spans="1:1" x14ac:dyDescent="0.25">
      <c r="A3">
        <v>50</v>
      </c>
    </row>
    <row r="4" spans="1:1" x14ac:dyDescent="0.25">
      <c r="A4">
        <v>50</v>
      </c>
    </row>
    <row r="5" spans="1:1" x14ac:dyDescent="0.25">
      <c r="A5">
        <v>100</v>
      </c>
    </row>
    <row r="6" spans="1:1" x14ac:dyDescent="0.25">
      <c r="A6">
        <v>300</v>
      </c>
    </row>
    <row r="7" spans="1:1" x14ac:dyDescent="0.25">
      <c r="A7">
        <v>300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</v>
      </c>
    </row>
    <row r="11" spans="1:1" x14ac:dyDescent="0.25">
      <c r="A11">
        <v>20</v>
      </c>
    </row>
    <row r="12" spans="1:1" x14ac:dyDescent="0.25">
      <c r="A12">
        <v>20</v>
      </c>
    </row>
    <row r="13" spans="1:1" x14ac:dyDescent="0.25">
      <c r="A13">
        <v>20</v>
      </c>
    </row>
    <row r="14" spans="1:1" x14ac:dyDescent="0.25">
      <c r="A14">
        <v>20</v>
      </c>
    </row>
    <row r="15" spans="1:1" x14ac:dyDescent="0.25">
      <c r="A15">
        <v>20</v>
      </c>
    </row>
    <row r="16" spans="1:1" x14ac:dyDescent="0.25">
      <c r="A16">
        <v>20</v>
      </c>
    </row>
    <row r="17" spans="1:1" x14ac:dyDescent="0.25">
      <c r="A17">
        <v>20</v>
      </c>
    </row>
    <row r="18" spans="1:1" x14ac:dyDescent="0.25">
      <c r="A18">
        <v>20</v>
      </c>
    </row>
    <row r="19" spans="1:1" x14ac:dyDescent="0.25">
      <c r="A19">
        <v>20</v>
      </c>
    </row>
    <row r="20" spans="1:1" x14ac:dyDescent="0.25">
      <c r="A20">
        <v>20</v>
      </c>
    </row>
    <row r="21" spans="1:1" x14ac:dyDescent="0.25">
      <c r="A21">
        <v>20</v>
      </c>
    </row>
    <row r="22" spans="1:1" x14ac:dyDescent="0.25">
      <c r="A22">
        <v>20</v>
      </c>
    </row>
    <row r="23" spans="1:1" x14ac:dyDescent="0.25">
      <c r="A23">
        <v>20</v>
      </c>
    </row>
    <row r="24" spans="1:1" x14ac:dyDescent="0.25">
      <c r="A24">
        <v>20</v>
      </c>
    </row>
    <row r="25" spans="1:1" x14ac:dyDescent="0.25">
      <c r="A25">
        <v>100</v>
      </c>
    </row>
    <row r="26" spans="1:1" x14ac:dyDescent="0.25">
      <c r="A26">
        <v>100</v>
      </c>
    </row>
    <row r="27" spans="1:1" x14ac:dyDescent="0.25">
      <c r="A27">
        <v>20</v>
      </c>
    </row>
    <row r="28" spans="1:1" x14ac:dyDescent="0.25">
      <c r="A28">
        <v>40</v>
      </c>
    </row>
    <row r="29" spans="1:1" x14ac:dyDescent="0.25">
      <c r="A29">
        <v>50</v>
      </c>
    </row>
    <row r="30" spans="1:1" x14ac:dyDescent="0.25">
      <c r="A30">
        <v>50</v>
      </c>
    </row>
    <row r="31" spans="1:1" x14ac:dyDescent="0.25">
      <c r="A31">
        <v>300</v>
      </c>
    </row>
    <row r="32" spans="1:1" x14ac:dyDescent="0.25">
      <c r="A32">
        <v>20</v>
      </c>
    </row>
    <row r="33" spans="1:1" x14ac:dyDescent="0.25">
      <c r="A33">
        <v>20</v>
      </c>
    </row>
    <row r="34" spans="1:1" x14ac:dyDescent="0.25">
      <c r="A34">
        <v>20</v>
      </c>
    </row>
    <row r="35" spans="1:1" x14ac:dyDescent="0.25">
      <c r="A35">
        <v>20</v>
      </c>
    </row>
    <row r="36" spans="1:1" x14ac:dyDescent="0.25">
      <c r="A36">
        <v>20</v>
      </c>
    </row>
    <row r="37" spans="1:1" x14ac:dyDescent="0.25">
      <c r="A37">
        <v>50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Sun, Jason</cp:lastModifiedBy>
  <dcterms:created xsi:type="dcterms:W3CDTF">2013-04-03T15:49:21Z</dcterms:created>
  <dcterms:modified xsi:type="dcterms:W3CDTF">2026-01-09T13:22:37Z</dcterms:modified>
</cp:coreProperties>
</file>