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3624\Documents\GitHub\RiskProject\"/>
    </mc:Choice>
  </mc:AlternateContent>
  <xr:revisionPtr revIDLastSave="0" documentId="13_ncr:1_{11A83993-791C-4AC1-B485-52A9C65FF7E2}" xr6:coauthVersionLast="47" xr6:coauthVersionMax="47" xr10:uidLastSave="{00000000-0000-0000-0000-000000000000}"/>
  <bookViews>
    <workbookView xWindow="825" yWindow="5970" windowWidth="23940" windowHeight="11385" xr2:uid="{00000000-000D-0000-FFFF-FFFF00000000}"/>
  </bookViews>
  <sheets>
    <sheet name="Sheet 1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2" l="1" a="1"/>
  <c r="G5" i="2"/>
  <c r="E35" i="2"/>
  <c r="D36" i="2"/>
  <c r="D37" i="2"/>
  <c r="C39" i="2"/>
  <c r="C37" i="2"/>
  <c r="C35" i="2"/>
  <c r="C3" i="2"/>
  <c r="C4" i="2"/>
  <c r="C6" i="2"/>
  <c r="C5" i="2"/>
  <c r="D34" i="2"/>
  <c r="C32" i="2"/>
  <c r="I2" i="2"/>
  <c r="G40" i="2"/>
  <c r="G15" i="2"/>
  <c r="I31" i="2"/>
  <c r="I38" i="2"/>
  <c r="F41" i="2"/>
  <c r="E13" i="2"/>
  <c r="E17" i="2"/>
  <c r="C41" i="2"/>
  <c r="D30" i="2"/>
  <c r="E2" i="2"/>
  <c r="G18" i="2"/>
  <c r="G29" i="2"/>
  <c r="C20" i="2"/>
  <c r="C16" i="2"/>
  <c r="I11" i="2"/>
  <c r="E7" i="2"/>
  <c r="F31" i="2"/>
  <c r="I42" i="2"/>
  <c r="E26" i="2"/>
  <c r="D35" i="2"/>
  <c r="C9" i="2"/>
  <c r="H11" i="2"/>
  <c r="H31" i="2"/>
  <c r="C21" i="2"/>
  <c r="G31" i="2"/>
  <c r="D14" i="2"/>
  <c r="D40" i="2"/>
  <c r="I4" i="2"/>
  <c r="E30" i="2"/>
  <c r="G21" i="2"/>
  <c r="D32" i="2"/>
  <c r="I40" i="2"/>
  <c r="C29" i="2"/>
  <c r="D13" i="2"/>
  <c r="I29" i="2"/>
  <c r="G25" i="2"/>
  <c r="G2" i="2"/>
  <c r="D12" i="2"/>
  <c r="C18" i="2"/>
  <c r="F35" i="2"/>
  <c r="C38" i="2"/>
  <c r="E6" i="2"/>
  <c r="E3" i="2"/>
  <c r="G37" i="2"/>
  <c r="H26" i="2"/>
  <c r="E9" i="2"/>
  <c r="F28" i="2"/>
  <c r="E19" i="2"/>
  <c r="F32" i="2"/>
  <c r="E18" i="2"/>
  <c r="G9" i="2"/>
  <c r="D22" i="2"/>
  <c r="G12" i="2"/>
  <c r="C14" i="2"/>
  <c r="F2" i="2"/>
  <c r="F10" i="2"/>
  <c r="G10" i="2"/>
  <c r="D21" i="2"/>
  <c r="F9" i="2"/>
  <c r="D4" i="2"/>
  <c r="F7" i="2"/>
  <c r="G42" i="2"/>
  <c r="C27" i="2"/>
  <c r="H23" i="2"/>
  <c r="H36" i="2"/>
  <c r="E39" i="2"/>
  <c r="F23" i="2"/>
  <c r="C28" i="2"/>
  <c r="G22" i="2"/>
  <c r="G38" i="2"/>
  <c r="E25" i="2"/>
  <c r="D6" i="2"/>
  <c r="D19" i="2"/>
  <c r="E37" i="2"/>
  <c r="G11" i="2"/>
  <c r="F40" i="2"/>
  <c r="F22" i="2"/>
  <c r="D8" i="2"/>
  <c r="E15" i="2"/>
  <c r="E4" i="2"/>
  <c r="G3" i="2"/>
  <c r="H8" i="2"/>
  <c r="H24" i="2"/>
  <c r="G34" i="2"/>
  <c r="H2" i="2"/>
  <c r="H37" i="2"/>
  <c r="E23" i="2"/>
  <c r="G36" i="2"/>
  <c r="D18" i="2"/>
  <c r="H39" i="2"/>
  <c r="D38" i="2"/>
  <c r="F17" i="2"/>
  <c r="C17" i="2"/>
  <c r="G7" i="2"/>
  <c r="C10" i="2"/>
  <c r="H35" i="2"/>
  <c r="D27" i="2"/>
  <c r="F25" i="2"/>
  <c r="C31" i="2"/>
  <c r="H19" i="2"/>
  <c r="I25" i="2"/>
  <c r="G27" i="2"/>
  <c r="H12" i="2"/>
  <c r="G23" i="2"/>
  <c r="I12" i="2"/>
  <c r="I39" i="2"/>
  <c r="G41" i="2"/>
  <c r="D39" i="2"/>
  <c r="G4" i="2"/>
  <c r="F14" i="2"/>
  <c r="G28" i="2"/>
  <c r="D31" i="2"/>
  <c r="I30" i="2"/>
  <c r="H30" i="2"/>
  <c r="I19" i="2"/>
  <c r="D33" i="2"/>
  <c r="I24" i="2"/>
  <c r="F29" i="2"/>
  <c r="H15" i="2"/>
  <c r="G32" i="2"/>
  <c r="F20" i="2"/>
  <c r="H25" i="2"/>
  <c r="G13" i="2"/>
  <c r="D9" i="2"/>
  <c r="E22" i="2"/>
  <c r="F6" i="2"/>
  <c r="F36" i="2"/>
  <c r="H42" i="2"/>
  <c r="F15" i="2"/>
  <c r="F3" i="2"/>
  <c r="D26" i="2"/>
  <c r="F42" i="2"/>
  <c r="I32" i="2"/>
  <c r="I17" i="2"/>
  <c r="E20" i="2"/>
  <c r="I15" i="2"/>
  <c r="F5" i="2"/>
  <c r="I16" i="2"/>
  <c r="H14" i="2"/>
  <c r="H3" i="2"/>
  <c r="F37" i="2"/>
  <c r="G39" i="2"/>
  <c r="E41" i="2"/>
  <c r="I37" i="2"/>
  <c r="E12" i="2"/>
  <c r="H32" i="2"/>
  <c r="D42" i="2"/>
  <c r="G19" i="2"/>
  <c r="C42" i="2"/>
  <c r="H40" i="2"/>
  <c r="D16" i="2"/>
  <c r="I35" i="2"/>
  <c r="E8" i="2"/>
  <c r="H41" i="2"/>
  <c r="D24" i="2"/>
  <c r="D41" i="2"/>
  <c r="H4" i="2"/>
  <c r="F39" i="2"/>
  <c r="G24" i="2"/>
  <c r="D25" i="2"/>
  <c r="H27" i="2"/>
  <c r="H33" i="2"/>
  <c r="F27" i="2"/>
  <c r="E27" i="2"/>
  <c r="F16" i="2"/>
  <c r="I22" i="2"/>
  <c r="D11" i="2"/>
  <c r="F19" i="2"/>
  <c r="F13" i="2"/>
  <c r="I20" i="2"/>
  <c r="H9" i="2"/>
  <c r="I28" i="2"/>
  <c r="I7" i="2"/>
  <c r="D7" i="2"/>
  <c r="G6" i="2"/>
  <c r="C36" i="2"/>
  <c r="E14" i="2"/>
  <c r="H21" i="2"/>
  <c r="E24" i="2"/>
  <c r="I26" i="2"/>
  <c r="G20" i="2"/>
  <c r="I23" i="2"/>
  <c r="C13" i="2"/>
  <c r="F38" i="2"/>
  <c r="H13" i="2"/>
  <c r="D28" i="2"/>
  <c r="G16" i="2"/>
  <c r="E11" i="2"/>
  <c r="D10" i="2"/>
  <c r="C22" i="2"/>
  <c r="I18" i="2"/>
  <c r="C2" i="2"/>
  <c r="F21" i="2"/>
  <c r="I9" i="2"/>
  <c r="C25" i="2"/>
  <c r="I3" i="2"/>
  <c r="E21" i="2"/>
  <c r="E5" i="2"/>
  <c r="I6" i="2"/>
  <c r="I10" i="2"/>
  <c r="C24" i="2"/>
  <c r="I36" i="2"/>
  <c r="I5" i="2"/>
  <c r="H34" i="2"/>
  <c r="F26" i="2"/>
  <c r="H18" i="2"/>
  <c r="C23" i="2"/>
  <c r="D23" i="2"/>
  <c r="E31" i="2"/>
  <c r="C15" i="2"/>
  <c r="D5" i="2"/>
  <c r="I41" i="2"/>
  <c r="I27" i="2"/>
  <c r="C40" i="2"/>
  <c r="H10" i="2"/>
  <c r="D2" i="2"/>
  <c r="F4" i="2"/>
  <c r="H20" i="2"/>
  <c r="G33" i="2"/>
  <c r="H29" i="2"/>
  <c r="F12" i="2"/>
  <c r="D29" i="2"/>
  <c r="F24" i="2"/>
  <c r="I14" i="2"/>
  <c r="H6" i="2"/>
  <c r="H38" i="2"/>
  <c r="D3" i="2"/>
  <c r="I33" i="2"/>
  <c r="G14" i="2"/>
  <c r="E36" i="2"/>
  <c r="C8" i="2"/>
  <c r="D20" i="2"/>
  <c r="F8" i="2"/>
  <c r="H7" i="2"/>
  <c r="E32" i="2"/>
  <c r="G35" i="2"/>
  <c r="E34" i="2"/>
  <c r="E40" i="2"/>
  <c r="C11" i="2"/>
  <c r="C26" i="2"/>
  <c r="E33" i="2"/>
  <c r="D17" i="2"/>
  <c r="E10" i="2"/>
  <c r="C30" i="2"/>
  <c r="E42" i="2"/>
  <c r="G26" i="2"/>
  <c r="G17" i="2"/>
  <c r="F30" i="2"/>
  <c r="E16" i="2"/>
  <c r="C19" i="2"/>
  <c r="H5" i="2"/>
  <c r="F11" i="2"/>
  <c r="C33" i="2"/>
  <c r="E38" i="2"/>
  <c r="C12" i="2"/>
  <c r="I13" i="2"/>
  <c r="H22" i="2"/>
  <c r="G8" i="2"/>
  <c r="C7" i="2"/>
  <c r="H28" i="2"/>
  <c r="F33" i="2"/>
  <c r="C34" i="2"/>
  <c r="E28" i="2"/>
  <c r="I21" i="2"/>
  <c r="G30" i="2"/>
  <c r="H17" i="2"/>
  <c r="F18" i="2"/>
  <c r="F34" i="2"/>
  <c r="I8" i="2"/>
  <c r="E29" i="2"/>
  <c r="I34" i="2"/>
  <c r="D15" i="2"/>
  <c r="H16" i="2"/>
  <c r="J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<sst xmlns="http://schemas.openxmlformats.org/spreadsheetml/2006/main" count="52" uniqueCount="52">
  <si>
    <t>Ticker</t>
  </si>
  <si>
    <t>NET LONG USD unit k</t>
  </si>
  <si>
    <t>Last Price</t>
  </si>
  <si>
    <t>Net</t>
  </si>
  <si>
    <t>%1D</t>
  </si>
  <si>
    <t>Name</t>
  </si>
  <si>
    <t>Rel YTD Return</t>
  </si>
  <si>
    <t>Curncy</t>
  </si>
  <si>
    <t>Sec Type</t>
  </si>
  <si>
    <t>SPX</t>
  </si>
  <si>
    <t>NVDA US</t>
  </si>
  <si>
    <t>AMD US</t>
  </si>
  <si>
    <t>UKX</t>
  </si>
  <si>
    <t>IGLN LN</t>
  </si>
  <si>
    <t>MINE LN</t>
  </si>
  <si>
    <t>CBUK GY</t>
  </si>
  <si>
    <t>FXAC NA</t>
  </si>
  <si>
    <t>2899 HK</t>
  </si>
  <si>
    <t>AAPL US</t>
  </si>
  <si>
    <t>LLY US</t>
  </si>
  <si>
    <t>JNJ US</t>
  </si>
  <si>
    <t>PFE US</t>
  </si>
  <si>
    <t>OGN US</t>
  </si>
  <si>
    <t>3750 HK</t>
  </si>
  <si>
    <t>META US</t>
  </si>
  <si>
    <t>GOOGL US</t>
  </si>
  <si>
    <t>AIR FP</t>
  </si>
  <si>
    <t>BA US</t>
  </si>
  <si>
    <t>BRITISH AIRWAYS CDS EUR SR 5Y</t>
  </si>
  <si>
    <t>RR/ LN</t>
  </si>
  <si>
    <t>BA/ LN</t>
  </si>
  <si>
    <t>MDT US</t>
  </si>
  <si>
    <t>EMB US</t>
  </si>
  <si>
    <t>CBU0 LN</t>
  </si>
  <si>
    <t>PG US</t>
  </si>
  <si>
    <t>AMZN US</t>
  </si>
  <si>
    <t>NEXT US</t>
  </si>
  <si>
    <t>SO US</t>
  </si>
  <si>
    <t>JEMA LN</t>
  </si>
  <si>
    <t>EMIRATES UH</t>
  </si>
  <si>
    <t>KO US</t>
  </si>
  <si>
    <t>CON GR</t>
  </si>
  <si>
    <t>NFLX US</t>
  </si>
  <si>
    <t>SBUX US</t>
  </si>
  <si>
    <t>JGB1X SW</t>
  </si>
  <si>
    <t>USDCNY</t>
  </si>
  <si>
    <t>USDJPY</t>
  </si>
  <si>
    <t>USDHKD</t>
  </si>
  <si>
    <t>GBPUSD</t>
  </si>
  <si>
    <t>EURUSD</t>
  </si>
  <si>
    <t>Weighting</t>
  </si>
  <si>
    <t>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</si>
</sst>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indexed="9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8" fillId="3" borderId="0" applyNumberFormat="0" applyBorder="0" applyAlignment="0" applyProtection="0"/>
    <xf numFmtId="0" fontId="1" fillId="33" borderId="0"/>
    <xf numFmtId="0" fontId="12" fillId="6" borderId="4" applyNumberFormat="0" applyAlignment="0" applyProtection="0"/>
    <xf numFmtId="0" fontId="14" fillId="7" borderId="7" applyNumberFormat="0" applyAlignment="0" applyProtection="0"/>
    <xf numFmtId="0" fontId="1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0" fillId="5" borderId="4" applyNumberFormat="0" applyAlignment="0" applyProtection="0"/>
    <xf numFmtId="0" fontId="13" fillId="0" borderId="6" applyNumberFormat="0" applyFill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11" fillId="6" borderId="5" applyNumberFormat="0" applyAlignment="0" applyProtection="0"/>
    <xf numFmtId="0" fontId="3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5" fillId="0" borderId="0" applyNumberFormat="0" applyFill="0" applyBorder="0" applyAlignment="0" applyProtection="0"/>
  </cellStyleXfs>
  <cellXfs count="2">
    <xf numFmtId="0" fontId="0" fillId="0" borderId="0" xfId="0"/>
    <xf numFmtId="0" fontId="1" fillId="33" borderId="0" xfId="26"/>
  </cellXfs>
  <cellStyles count="4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column_header" xfId="26" xr:uid="{00000000-0005-0000-0000-000019000000}"/>
    <cellStyle name="Calculation" xfId="27" builtinId="22" customBuiltin="1"/>
    <cellStyle name="Check Cell" xfId="28" builtinId="23" customBuiltin="1"/>
    <cellStyle name="Explanatory Text" xfId="29" builtinId="53" customBuiltin="1"/>
    <cellStyle name="Good" xfId="30" builtinId="26" customBuiltin="1"/>
    <cellStyle name="Heading 1" xfId="31" builtinId="16" customBuiltin="1"/>
    <cellStyle name="Heading 2" xfId="32" builtinId="17" customBuiltin="1"/>
    <cellStyle name="Heading 3" xfId="33" builtinId="18" customBuiltin="1"/>
    <cellStyle name="Heading 4" xfId="34" builtinId="19" customBuiltin="1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/>
    <cellStyle name="Note" xfId="38" builtinId="10" customBuiltin="1"/>
    <cellStyle name="Output" xfId="39" builtinId="21" customBuiltin="1"/>
    <cellStyle name="Title" xfId="40" builtinId="15" customBuiltin="1"/>
    <cellStyle name="Total" xfId="41" builtinId="25" customBuiltin="1"/>
    <cellStyle name="Warning Text" xfId="4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>
        <v>1.04</v>
        <stp/>
        <stp>BDP|7440769568831153095|22</stp>
        <stp>USDJPY Curncy</stp>
        <stp>RT_PX_CHG_NET_1D</stp>
        <tr r="D39" s="2"/>
      </tp>
      <tp>
        <v>2.8200000524520874E-2</v>
        <stp/>
        <stp>BDP|3207873935116218584|22</stp>
        <stp>USDHKD Curncy</stp>
        <stp>RT_PX_CHG_PCT_1D</stp>
        <tr r="E40" s="2"/>
      </tp>
      <tp>
        <v>-1.7</v>
        <stp/>
        <stp>BDP|947780228852389168|22</stp>
        <stp>AIR FP Equity</stp>
        <stp>RT_PX_CHG_NET_1D</stp>
        <tr r="D19" s="2"/>
      </tp>
      <tp>
        <v>205.75</v>
        <stp/>
        <stp>BDP|4491543040142409756|22</stp>
        <stp>JNJ US Equity</stp>
        <stp>LAST_PRICE</stp>
        <tr r="C13" s="2"/>
      </tp>
      <tp>
        <v>213.5</v>
        <stp/>
        <stp>BDP|9153568951839777700|22</stp>
        <stp>AIR FP Equity</stp>
        <stp>LAST_PRICE</stp>
        <tr r="C19" s="2"/>
      </tp>
      <tp>
        <v>98.69</v>
        <stp/>
        <stp>BDP|7681845166002514266|22</stp>
        <stp>MDT US Equity</stp>
        <stp>LAST_PRICE</stp>
        <tr r="C24" s="2"/>
      </tp>
      <tp>
        <v>29.35</v>
        <stp/>
        <stp>BDP|1402105755382465996|22</stp>
        <stp>EMIRATES UH Equity</stp>
        <stp>LAST_PRICE</stp>
        <tr r="C32" s="2"/>
      </tp>
      <tp>
        <v>25.29</v>
        <stp/>
        <stp>BDP|9122413816081145693|22</stp>
        <stp>PFE US Equity</stp>
        <stp>LAST_PRICE</stp>
        <tr r="C14" s="2"/>
      </tp>
      <tp>
        <v>-0.10450000315904617</v>
        <stp/>
        <stp>BDP|7186345658639241287|22</stp>
        <stp>USDCNY Curncy</stp>
        <stp>RT_PX_CHG_PCT_1D</stp>
        <tr r="E38" s="2"/>
      </tp>
      <tp>
        <v>7.7942</v>
        <stp/>
        <stp>BDP|9637940372468322631|22</stp>
        <stp>USDHKD Curncy</stp>
        <stp>LAST_PRICE</stp>
        <tr r="C40" s="2"/>
      </tp>
      <tp>
        <v>-0.33959999680519104</v>
        <stp/>
        <stp>BDP|1268961494542685334|22</stp>
        <stp>EMIRATES UH Equity</stp>
        <stp>RT_PX_CHG_PCT_1D</stp>
        <tr r="E32" s="2"/>
      </tp>
      <tp>
        <v>1085.19</v>
        <stp/>
        <stp>BDP|2243328945849060847|22</stp>
        <stp>LLY US Equity</stp>
        <stp>LAST_PRICE</stp>
        <tr r="C12" s="2"/>
      </tp>
      <tp>
        <v>2.2000000000000001E-3</v>
        <stp/>
        <stp>BDP|9251622605349132248|22</stp>
        <stp>USDHKD Curncy</stp>
        <stp>RT_PX_CHG_NET_1D</stp>
        <tr r="D40" s="2"/>
      </tp>
      <tp>
        <v>1.1642999999999999</v>
        <stp/>
        <stp>BDP|2536876535509111638|22</stp>
        <stp>EURUSD Curncy</stp>
        <stp>LAST_PRICE</stp>
        <tr r="C42" s="2"/>
      </tp>
      <tp>
        <v>-0.1</v>
        <stp/>
        <stp>BDP|9063213310330296407|22</stp>
        <stp>EMIRATES UH Equity</stp>
        <stp>RT_PX_CHG_NET_1D</stp>
        <tr r="D32" s="2"/>
      </tp>
      <tp t="s">
        <v>#N/A Requesting Data...4252599860</v>
        <stp/>
        <stp>BDP|13726330099102123159</stp>
        <tr r="G39" s="2"/>
      </tp>
      <tp t="s">
        <v>#N/A Requesting Data...4198328649</v>
        <stp/>
        <stp>BDP|10161068746736982849</stp>
        <tr r="H30" s="2"/>
      </tp>
      <tp t="s">
        <v>#N/A Requesting Data...4199075661</v>
        <stp/>
        <stp>BDP|11683585932585655850</stp>
        <tr r="F39" s="2"/>
      </tp>
      <tp t="s">
        <v>#N/A Requesting Data...4254515753</v>
        <stp/>
        <stp>BDP|12017484019005458817</stp>
        <tr r="G27" s="2"/>
      </tp>
      <tp>
        <v>7.6999999582767487E-3</v>
        <stp/>
        <stp>BDP|17619753738038543088|22</stp>
        <stp>SPX Index</stp>
        <stp>RT_PX_CHG_PCT_1D</stp>
        <tr r="E2" s="2"/>
      </tp>
      <tp t="s">
        <v>#N/A Requesting Data...4256059816</v>
        <stp/>
        <stp>BDP|14786265689685055015</stp>
        <tr r="I30" s="2"/>
      </tp>
      <tp t="s">
        <v>#N/A Requesting Data...4283094111</v>
        <stp/>
        <stp>BDP|11948538617169042745</stp>
        <tr r="I34" s="2"/>
      </tp>
      <tp t="s">
        <v>#N/A Requesting Data...4259220308</v>
        <stp/>
        <stp>BDP|13327030984277671781</stp>
        <tr r="G14" s="2"/>
      </tp>
      <tp t="s">
        <v>#N/A Requesting Data...4215086846</v>
        <stp/>
        <stp>BDP|11052201193037336611</stp>
        <tr r="I21" s="2"/>
      </tp>
      <tp t="s">
        <v>#N/A Requesting Data...4257003960</v>
        <stp/>
        <stp>BDP|15250022874911848898</stp>
        <tr r="I26" s="2"/>
      </tp>
      <tp t="s">
        <v>#N/A Requesting Data...4266836990</v>
        <stp/>
        <stp>BDP|16974495450745287955</stp>
        <tr r="H20" s="2"/>
      </tp>
      <tp t="s">
        <v>#N/A Requesting Data...4279916770</v>
        <stp/>
        <stp>BDP|13586107072397559958</stp>
        <tr r="F20" s="2"/>
      </tp>
      <tp t="s">
        <v>#N/A Requesting Data...4212618832</v>
        <stp/>
        <stp>BDP|12372777549130766986</stp>
        <tr r="H21" s="2"/>
      </tp>
      <tp t="s">
        <v>#N/A Requesting Data...4261290322</v>
        <stp/>
        <stp>BDP|15230718795624191739</stp>
        <tr r="F4" s="2"/>
      </tp>
      <tp t="s">
        <v>#N/A Requesting Data...4294094399</v>
        <stp/>
        <stp>BDP|17003660499597037782</stp>
        <tr r="F33" s="2"/>
      </tp>
      <tp t="s">
        <v>#N/A Requesting Data...4207043692</v>
        <stp/>
        <stp>BDP|12562979105557805579</stp>
        <tr r="G42" s="2"/>
      </tp>
      <tp t="s">
        <v>#N/A Requesting Data...4198844574</v>
        <stp/>
        <stp>BDP|11457716615866838852</stp>
        <tr r="G26" s="2"/>
      </tp>
      <tp t="s">
        <v>#N/A Requesting Data...4244729626</v>
        <stp/>
        <stp>BDP|10440016544805838894</stp>
        <tr r="G5" s="2"/>
      </tp>
      <tp t="s">
        <v>#N/A Requesting Data...4265165620</v>
        <stp/>
        <stp>BDP|10616050593057307760</stp>
        <tr r="I39" s="2"/>
      </tp>
      <tp t="s">
        <v>#N/A Requesting Data...4269162174</v>
        <stp/>
        <stp>BDP|16041977316761843146</stp>
        <tr r="G15" s="2"/>
      </tp>
      <tp t="s">
        <v>#N/A Requesting Data...4272923371</v>
        <stp/>
        <stp>BDP|10756724933539844329</stp>
        <tr r="H40" s="2"/>
      </tp>
      <tp t="s">
        <v>#N/A Requesting Data...4210121412</v>
        <stp/>
        <stp>BDP|18349960067411860888</stp>
        <tr r="G4" s="2"/>
      </tp>
      <tp t="s">
        <v>#N/A Requesting Data...4267788162</v>
        <stp/>
        <stp>BDP|11947684672467703960</stp>
        <tr r="G19" s="2"/>
      </tp>
      <tp t="s">
        <v>#N/A Requesting Data...4288396297</v>
        <stp/>
        <stp>BDP|11365796292615724579</stp>
        <tr r="I24" s="2"/>
      </tp>
      <tp t="s">
        <v>#N/A Requesting Data...4231715466</v>
        <stp/>
        <stp>BDP|12054380239949939427</stp>
        <tr r="H29" s="2"/>
      </tp>
      <tp t="s">
        <v>#N/A Requesting Data...4237547667</v>
        <stp/>
        <stp>BDP|13923957642225746475</stp>
        <tr r="I36" s="2"/>
      </tp>
      <tp t="s">
        <v>#N/A Requesting Data...4257916501</v>
        <stp/>
        <stp>BDP|13135852254226195741</stp>
        <tr r="F41" s="2"/>
      </tp>
      <tp t="s">
        <v>#N/A Requesting Data...4218180499</v>
        <stp/>
        <stp>BDP|13102856650200870187</stp>
        <tr r="I40" s="2"/>
      </tp>
      <tp>
        <v>1.3424</v>
        <stp/>
        <stp>BDP|9653383310122358291|22</stp>
        <stp>GBPUSD Curncy</stp>
        <stp>LAST_PRICE</stp>
        <tr r="C41" s="2"/>
      </tp>
      <tp t="s">
        <v>#N/A Requesting Data...4282646044</v>
        <stp/>
        <stp>BDP|15878542321509781777</stp>
        <tr r="G17" s="2"/>
      </tp>
      <tp t="s">
        <v>#N/A Requesting Data...4243095418</v>
        <stp/>
        <stp>BDP|12159893646134678644</stp>
        <tr r="F6" s="2"/>
      </tp>
      <tp t="s">
        <v>#N/A Requesting Data...4202658113</v>
        <stp/>
        <stp>BDP|10258547940269662411</stp>
        <tr r="I6" s="2"/>
      </tp>
      <tp t="s">
        <v>#N/A Requesting Data...4263682143</v>
        <stp/>
        <stp>BDP|13768640896215033570</stp>
        <tr r="I28" s="2"/>
      </tp>
      <tp t="s">
        <v>#N/A Requesting Data...4223173521</v>
        <stp/>
        <stp>BDP|17035422948918622380</stp>
        <tr r="F9" s="2"/>
      </tp>
      <tp t="s">
        <v>#N/A Requesting Data...4247788730</v>
        <stp/>
        <stp>BDP|16910038349647120967</stp>
        <tr r="I11" s="2"/>
      </tp>
      <tp t="s">
        <v>#N/A Requesting Data...4291684878</v>
        <stp/>
        <stp>BDP|12683165297093856580</stp>
        <tr r="I15" s="2"/>
      </tp>
      <tp t="s">
        <v>#N/A Requesting Data...4273930066</v>
        <stp/>
        <stp>BDP|10849937685575082907</stp>
        <tr r="H3" s="2"/>
      </tp>
      <tp t="s">
        <v>#N/A Requesting Data...4270472755</v>
        <stp/>
        <stp>BDP|11387265906147598984</stp>
        <tr r="F8" s="2"/>
      </tp>
      <tp t="s">
        <v>#N/A Requesting Data...4233239969</v>
        <stp/>
        <stp>BDP|10003955093708600510</stp>
        <tr r="F10" s="2"/>
      </tp>
      <tp t="s">
        <v>#N/A Requesting Data...4218898688</v>
        <stp/>
        <stp>BDP|13761486691800974370</stp>
        <tr r="H36" s="2"/>
      </tp>
      <tp t="s">
        <v>#N/A Requesting Data...4290730710</v>
        <stp/>
        <stp>BDP|16040454835818090432</stp>
        <tr r="F15" s="2"/>
      </tp>
      <tp t="s">
        <v>#N/A Requesting Data...4280224265</v>
        <stp/>
        <stp>BDP|15700200532082464481</stp>
        <tr r="F31" s="2"/>
      </tp>
      <tp t="s">
        <v>#N/A Requesting Data...4232551226</v>
        <stp/>
        <stp>BDP|13161382645165502325</stp>
        <tr r="G10" s="2"/>
      </tp>
      <tp t="s">
        <v>#N/A Requesting Data...4226793077</v>
        <stp/>
        <stp>BDP|16208206068012748229</stp>
        <tr r="G20" s="2"/>
      </tp>
      <tp t="s">
        <v>#N/A Requesting Data...4279571796</v>
        <stp/>
        <stp>BDP|18366234675737059841</stp>
        <tr r="I20" s="2"/>
      </tp>
      <tp t="s">
        <v>#N/A Requesting Data...4293124893</v>
        <stp/>
        <stp>BDP|18261041613382059904</stp>
        <tr r="I31" s="2"/>
      </tp>
      <tp t="s">
        <v>#N/A Requesting Data...4241384021</v>
        <stp/>
        <stp>BDP|16582623533297960696</stp>
        <tr r="G13" s="2"/>
      </tp>
      <tp t="s">
        <v>#N/A Requesting Data...4246777340</v>
        <stp/>
        <stp>BDP|13858879495628456914</stp>
        <tr r="H31" s="2"/>
      </tp>
      <tp t="s">
        <v>#N/A Requesting Data...4273070597</v>
        <stp/>
        <stp>BDP|11695912767929760498</stp>
        <tr r="G35" s="2"/>
      </tp>
      <tp t="s">
        <v>#N/A Requesting Data...4226580278</v>
        <stp/>
        <stp>BDP|17038771305915005622</stp>
        <tr r="H25" s="2"/>
      </tp>
      <tp t="s">
        <v>#N/A Requesting Data...4281575134</v>
        <stp/>
        <stp>BDP|16827823126506554997</stp>
        <tr r="F22" s="2"/>
      </tp>
      <tp t="s">
        <v>#N/A Requesting Data...4253057543</v>
        <stp/>
        <stp>BDP|14593538328399898904</stp>
        <tr r="H11" s="2"/>
      </tp>
      <tp t="s">
        <v>#N/A Requesting Data...4228386263</v>
        <stp/>
        <stp>BDP|10999080899661154832</stp>
        <tr r="H41" s="2"/>
      </tp>
      <tp t="s">
        <v>#N/A Requesting Data...4292287973</v>
        <stp/>
        <stp>BDP|11514997987664059458</stp>
        <tr r="G33" s="2"/>
      </tp>
      <tp t="s">
        <v>#N/A Requesting Data...4230160139</v>
        <stp/>
        <stp>BDP|15451012353400379014</stp>
        <tr r="H28" s="2"/>
      </tp>
      <tp t="s">
        <v>#N/A Requesting Data...4256402055</v>
        <stp/>
        <stp>BDP|11997629114190969612</stp>
        <tr r="F42" s="2"/>
      </tp>
      <tp t="s">
        <v>#N/A Requesting Data...4235067644</v>
        <stp/>
        <stp>BDP|12204730210556207380</stp>
        <tr r="H27" s="2"/>
      </tp>
      <tp t="s">
        <v>#N/A Requesting Data...4259715505</v>
        <stp/>
        <stp>BDP|10460298747857017006</stp>
        <tr r="H6" s="2"/>
      </tp>
      <tp t="s">
        <v>#N/A Requesting Data...4288551821</v>
        <stp/>
        <stp>BDP|14796527360083621578</stp>
        <tr r="I33" s="2"/>
      </tp>
      <tp t="s">
        <v>#N/A Requesting Data...4253672621</v>
        <stp/>
        <stp>BDP|12683415508285155296</stp>
        <tr r="F32" s="2"/>
      </tp>
      <tp>
        <v>-0.11159999668598175</v>
        <stp/>
        <stp>BDP|3252326477349184959|22</stp>
        <stp>GBPUSD Curncy</stp>
        <stp>RT_PX_CHG_PCT_1D</stp>
        <tr r="E41" s="2"/>
      </tp>
      <tp>
        <v>-1.2115000486373901</v>
        <stp/>
        <stp>BDP|13376146485953853588|22</stp>
        <stp>3750 HK Equity</stp>
        <stp>RT_PX_CHG_PCT_1D</stp>
        <tr r="E16" s="2"/>
      </tp>
      <tp t="s">
        <v>#N/A Requesting Data...4270641360</v>
        <stp/>
        <stp>BDP|16616712736590297494</stp>
        <tr r="G7" s="2"/>
      </tp>
      <tp t="s">
        <v>#N/A Requesting Data...4241042740</v>
        <stp/>
        <stp>BDP|17576767409894203223</stp>
        <tr r="H5" s="2"/>
      </tp>
      <tp t="s">
        <v>#N/A Requesting Data...4291261538</v>
        <stp/>
        <stp>BDP|14582929568925061894</stp>
        <tr r="I25" s="2"/>
      </tp>
      <tp t="s">
        <v>#N/A Requesting Data...4294174883</v>
        <stp/>
        <stp>BDP|17320285635276154692</stp>
        <tr r="F21" s="2"/>
      </tp>
      <tp t="s">
        <v>#N/A Requesting Data...4274305148</v>
        <stp/>
        <stp>BDP|10471760537425834641</stp>
        <tr r="H19" s="2"/>
      </tp>
      <tp t="s">
        <v>#N/A Requesting Data...4252531987</v>
        <stp/>
        <stp>BDP|17383472322095340392</stp>
        <tr r="H23" s="2"/>
      </tp>
      <tp t="s">
        <v>#N/A Requesting Data...4248923375</v>
        <stp/>
        <stp>BDP|12731195518096602311</stp>
        <tr r="I18" s="2"/>
      </tp>
      <tp t="s">
        <v>#N/A Requesting Data...4279979394</v>
        <stp/>
        <stp>BDP|18421073664189187360</stp>
        <tr r="F26" s="2"/>
      </tp>
      <tp t="s">
        <v>#N/A Requesting Data...4265729292</v>
        <stp/>
        <stp>BDP|17725620279742469083</stp>
        <tr r="F13" s="2"/>
      </tp>
      <tp t="s">
        <v>#N/A Requesting Data...4255608977</v>
        <stp/>
        <stp>BDP|14855635018010880786</stp>
        <tr r="I8" s="2"/>
      </tp>
      <tp t="s">
        <v>#N/A Requesting Data...4285536443</v>
        <stp/>
        <stp>BDP|10883295710664675336</stp>
        <tr r="I27" s="2"/>
      </tp>
      <tp t="s">
        <v>#N/A Requesting Data...4277972671</v>
        <stp/>
        <stp>BDP|14672332335199571845</stp>
        <tr r="F3" s="2"/>
      </tp>
      <tp t="s">
        <v>#N/A Requesting Data...4289991580</v>
        <stp/>
        <stp>BDP|16115650444926539732</stp>
        <tr r="G30" s="2"/>
      </tp>
      <tp>
        <v>96.01</v>
        <stp/>
        <stp>BDP|299636303602419036|22</stp>
        <stp>EMB US Equity</stp>
        <stp>LAST_PRICE</stp>
        <tr r="C25" s="2"/>
      </tp>
      <tp>
        <v>69.400000000000006</v>
        <stp/>
        <stp>BDP|480389239997635209|22</stp>
        <stp>CON GR Equity</stp>
        <stp>LAST_PRICE</stp>
        <tr r="C34" s="2"/>
      </tp>
      <tp>
        <v>0.32229998707771301</v>
        <stp/>
        <stp>BDP|3613685676553800010|22</stp>
        <stp>JGB1X SW Equity</stp>
        <stp>RT_PX_CHG_PCT_1D</stp>
        <tr r="E37" s="2"/>
      </tp>
      <tp>
        <v>325.44</v>
        <stp/>
        <stp>BDP|14464630041533025863|22</stp>
        <stp>GOOGL US Equity</stp>
        <stp>LAST_PRICE</stp>
        <tr r="C18" s="2"/>
      </tp>
      <tp>
        <v>0.53</v>
        <stp/>
        <stp>BDP|2094566810415125063|22</stp>
        <stp>SPX Index</stp>
        <stp>RT_PX_CHG_NET_1D</stp>
        <tr r="D2" s="2"/>
      </tp>
      <tp>
        <v>0.59909999370574951</v>
        <stp/>
        <stp>BDP|1189818855878137403|22</stp>
        <stp>UKX Index</stp>
        <stp>RT_PX_CHG_PCT_1D</stp>
        <tr r="E5" s="2"/>
      </tp>
      <tp>
        <v>60.18</v>
        <stp/>
        <stp>BDP|2643784526489972605|22</stp>
        <stp>UKX Index</stp>
        <stp>RT_PX_CHG_NET_1D</stp>
        <tr r="D5" s="2"/>
      </tp>
      <tp>
        <v>-0.14579999446868896</v>
        <stp/>
        <stp>BDP|15949428646123579029|22</stp>
        <stp>EURUSD Curncy</stp>
        <stp>RT_PX_CHG_PCT_1D</stp>
        <tr r="E42" s="2"/>
      </tp>
      <tp>
        <v>72.236000000000004</v>
        <stp/>
        <stp>BDP|13884228839679351341|22</stp>
        <stp>BRITISH AIRWAYS CDS EUR SR 5Y Corp</stp>
        <stp>LAST_PRICE</stp>
        <tr r="C21" s="2"/>
      </tp>
      <tp>
        <v>-1.5E-3</v>
        <stp/>
        <stp>BDP|15103475849371120574|22</stp>
        <stp>GBPUSD Curncy</stp>
        <stp>RT_PX_CHG_NET_1D</stp>
        <tr r="D41" s="2"/>
      </tp>
      <tp>
        <v>-1.6999999999999999E-3</v>
        <stp/>
        <stp>BDP|17504207547164204016|22</stp>
        <stp>EURUSD Curncy</stp>
        <stp>RT_PX_CHG_NET_1D</stp>
        <tr r="D42" s="2"/>
      </tp>
      <tp>
        <v>3.46</v>
        <stp/>
        <stp>BDP|3646236613481802582|22</stp>
        <stp>GOOGL US Equity</stp>
        <stp>RT_PX_CHG_NET_1D</stp>
        <tr r="D18" s="2"/>
      </tp>
      <tp>
        <v>-0.32440000772476196</v>
        <stp/>
        <stp>BDP|2808494796474558000|22</stp>
        <stp>BA US Equity</stp>
        <stp>RT_PX_CHG_PCT_1D</stp>
        <tr r="E20" s="2"/>
      </tp>
      <tp>
        <v>7.2279999999999998</v>
        <stp/>
        <stp>BDP|11968934023932890597|22</stp>
        <stp>MINE LN Equity</stp>
        <stp>LAST_PRICE</stp>
        <tr r="C7" s="2"/>
      </tp>
      <tp>
        <v>4.6920000000000002</v>
        <stp/>
        <stp>BDP|13869752148025551370|22</stp>
        <stp>CBUK GY Equity</stp>
        <stp>LAST_PRICE</stp>
        <tr r="C8" s="2"/>
      </tp>
      <tp>
        <v>2.5283000469207764</v>
        <stp/>
        <stp>BDP|1019546149324925451|22</stp>
        <stp>PG US Equity</stp>
        <stp>RT_PX_CHG_PCT_1D</stp>
        <tr r="E27" s="2"/>
      </tp>
      <tp>
        <v>5.21</v>
        <stp/>
        <stp>BDP|11250167525481573333|22</stp>
        <stp>NEXT US Equity</stp>
        <stp>LAST_PRICE</stp>
        <tr r="C29" s="2"/>
      </tp>
      <tp>
        <v>0.66299998760223389</v>
        <stp/>
        <stp>BDP|14668546377169920491|22</stp>
        <stp>USDJPY Curncy</stp>
        <stp>RT_PX_CHG_PCT_1D</stp>
        <tr r="E39" s="2"/>
      </tp>
      <tp>
        <v>246.29</v>
        <stp/>
        <stp>BDP|11431942920512482031|22</stp>
        <stp>AMZN US Equity</stp>
        <stp>LAST_PRICE</stp>
        <tr r="C28" s="2"/>
      </tp>
      <tp>
        <v>235</v>
        <stp/>
        <stp>BDP|15048508152690684466|22</stp>
        <stp>JEMA LN Equity</stp>
        <stp>LAST_PRICE</stp>
        <tr r="C31" s="2"/>
      </tp>
      <tp>
        <v>4.4463999999999997</v>
        <stp/>
        <stp>BDP|13860077139406148467|22</stp>
        <stp>FXAC NA Equity</stp>
        <stp>LAST_PRICE</stp>
        <tr r="C9" s="2"/>
      </tp>
      <tp>
        <v>646.05999999999995</v>
        <stp/>
        <stp>BDP|12884552599081678750|22</stp>
        <stp>META US Equity</stp>
        <stp>LAST_PRICE</stp>
        <tr r="C17" s="2"/>
      </tp>
      <tp>
        <v>88.18</v>
        <stp/>
        <stp>BDP|10282340152104718857|22</stp>
        <stp>SBUX US Equity</stp>
        <stp>LAST_PRICE</stp>
        <tr r="C36" s="2"/>
      </tp>
      <tp>
        <v>2.7095000743865967</v>
        <stp/>
        <stp>BDP|1813871049719514881|22</stp>
        <stp>KO US Equity</stp>
        <stp>RT_PX_CHG_PCT_1D</stp>
        <tr r="E33" s="2"/>
      </tp>
      <tp>
        <v>-0.74</v>
        <stp/>
        <stp>BDP|1974149410370576232|22</stp>
        <stp>BA US Equity</stp>
        <stp>RT_PX_CHG_NET_1D</stp>
        <tr r="D20" s="2"/>
      </tp>
      <tp>
        <v>1.06</v>
        <stp/>
        <stp>BDP|6329020999266162295|22</stp>
        <stp>2899 HK Equity</stp>
        <stp>RT_PX_CHG_NET_1D</stp>
        <tr r="D10" s="2"/>
      </tp>
      <tp>
        <v>38.26</v>
        <stp/>
        <stp>BDP|9403255991688555578|22</stp>
        <stp>2899 HK Equity</stp>
        <stp>LAST_PRICE</stp>
        <tr r="C10" s="2"/>
      </tp>
      <tp>
        <v>-7.3000000000000001E-3</v>
        <stp/>
        <stp>BDP|11315381428307748440|22</stp>
        <stp>USDCNY Curncy</stp>
        <stp>RT_PX_CHG_NET_1D</stp>
        <tr r="D38" s="2"/>
      </tp>
      <tp>
        <v>2.8494999408721924</v>
        <stp/>
        <stp>BDP|3876872004918020556|22</stp>
        <stp>2899 HK Equity</stp>
        <stp>RT_PX_CHG_PCT_1D</stp>
        <tr r="E10" s="2"/>
      </tp>
      <tp>
        <v>1.1011999845504761</v>
        <stp/>
        <stp>BDP|6394099357891618155|22</stp>
        <stp>SO US Equity</stp>
        <stp>RT_PX_CHG_PCT_1D</stp>
        <tr r="E30" s="2"/>
      </tp>
      <tp>
        <v>0.95</v>
        <stp/>
        <stp>BDP|7669793763101124231|22</stp>
        <stp>SO US Equity</stp>
        <stp>RT_PX_CHG_NET_1D</stp>
        <tr r="D30" s="2"/>
      </tp>
      <tp>
        <v>87.225009999999997</v>
        <stp/>
        <stp>BDP|12051770770243262701|22</stp>
        <stp>IGLN LN Equity</stp>
        <stp>LAST_PRICE</stp>
        <tr r="C6" s="2"/>
      </tp>
      <tp>
        <v>-6.1</v>
        <stp/>
        <stp>BDP|3957932723552737683|22</stp>
        <stp>3750 HK Equity</stp>
        <stp>RT_PX_CHG_NET_1D</stp>
        <tr r="D16" s="2"/>
      </tp>
      <tp t="s">
        <v>#N/A Requesting Data...4277606043</v>
        <stp/>
        <stp>BDP|9109736174406829347</stp>
        <tr r="F35" s="2"/>
      </tp>
      <tp t="s">
        <v>#N/A Requesting Data...4278811667</v>
        <stp/>
        <stp>BDP|5324107897017504686</stp>
        <tr r="G38" s="2"/>
      </tp>
      <tp t="s">
        <v>#N/A Requesting Data...4275500080</v>
        <stp/>
        <stp>BDP|8830540870086602079</stp>
        <tr r="H37" s="2"/>
      </tp>
      <tp t="s">
        <v>#N/A Requesting Data...4272123024</v>
        <stp/>
        <stp>BDP|6982004263968238455</stp>
        <tr r="G37" s="2"/>
      </tp>
      <tp t="s">
        <v>#N/A Requesting Data...4290065629</v>
        <stp/>
        <stp>BDP|9719497041435481069</stp>
        <tr r="H15" s="2"/>
      </tp>
      <tp t="s">
        <v>#N/A Requesting Data...4273203120</v>
        <stp/>
        <stp>BDP|6247764095165360107</stp>
        <tr r="H7" s="2"/>
      </tp>
      <tp t="s">
        <v>#N/A Requesting Data...4294296018</v>
        <stp/>
        <stp>BDP|5127514461408575224</stp>
        <tr r="F27" s="2"/>
      </tp>
      <tp t="s">
        <v>#N/A Requesting Data...4287425217</v>
        <stp/>
        <stp>BDP|3268029323305573822</stp>
        <tr r="I13" s="2"/>
      </tp>
      <tp t="s">
        <v>#N/A Requesting Data...4274152736</v>
        <stp/>
        <stp>BDP|6458015923648280002</stp>
        <tr r="H14" s="2"/>
      </tp>
      <tp>
        <v>10104.870000000001</v>
        <stp/>
        <stp>BDP|1594039234189838727|22</stp>
        <stp>UKX Index</stp>
        <stp>LAST_PRICE</stp>
        <tr r="C5" s="2"/>
      </tp>
      <tp>
        <v>0.75950002670288086</v>
        <stp/>
        <stp>BDP|9197614781236994721|22</stp>
        <stp>IGLN LN Equity</stp>
        <stp>RT_PX_CHG_PCT_1D</stp>
        <tr r="E6" s="2"/>
      </tp>
      <tp t="s">
        <v>#N/A Requesting Data...4294454693</v>
        <stp/>
        <stp>BDP|5225636553458127318</stp>
        <tr r="I9" s="2"/>
      </tp>
      <tp t="s">
        <v>#N/A Requesting Data...4289733153</v>
        <stp/>
        <stp>BDP|4224846601889118801</stp>
        <tr r="G36" s="2"/>
      </tp>
      <tp t="s">
        <v>#N/A Requesting Data...4289662762</v>
        <stp/>
        <stp>BDP|6343627779900306904</stp>
        <tr r="F24" s="2"/>
      </tp>
      <tp t="s">
        <v>#N/A Requesting Data...4276859721</v>
        <stp/>
        <stp>BDP|3010037756768995026</stp>
        <tr r="F2" s="2"/>
      </tp>
      <tp t="s">
        <v>#N/A Requesting Data...4284420543</v>
        <stp/>
        <stp>BDP|4483818458306536176</stp>
        <tr r="H4" s="2"/>
      </tp>
      <tp t="s">
        <v>#N/A Requesting Data...4280232109</v>
        <stp/>
        <stp>BDP|7268049620249126274</stp>
        <tr r="H12" s="2"/>
      </tp>
      <tp t="s">
        <v>#N/A Requesting Data...4291913190</v>
        <stp/>
        <stp>BDP|2191437043995955997</stp>
        <tr r="F7" s="2"/>
      </tp>
      <tp t="s">
        <v>#N/A Requesting Data...4286345459</v>
        <stp/>
        <stp>BDP|9996169415162514580</stp>
        <tr r="F38" s="2"/>
      </tp>
      <tp>
        <v>2055</v>
        <stp/>
        <stp>BDP|16434624473755799585|22</stp>
        <stp>BA/ LN Equity</stp>
        <stp>LAST_PRICE</stp>
        <tr r="C23" s="2"/>
      </tp>
      <tp>
        <v>-4.0816001892089844</v>
        <stp/>
        <stp>BDP|3605600574103696495|22</stp>
        <stp>JEMA LN Equity</stp>
        <stp>RT_PX_CHG_PCT_1D</stp>
        <tr r="E31" s="2"/>
      </tp>
      <tp>
        <v>6.9771999999999998</v>
        <stp/>
        <stp>BDP|16433475406981355789|22</stp>
        <stp>USDCNY Curncy</stp>
        <stp>LAST_PRICE</stp>
        <tr r="C38" s="2"/>
      </tp>
      <tp t="s">
        <v>#N/A Requesting Data...4281948955</v>
        <stp/>
        <stp>BDP|7560579468229911289</stp>
        <tr r="G8" s="2"/>
      </tp>
      <tp t="s">
        <v>#N/A Requesting Data...4290041523</v>
        <stp/>
        <stp>BDP|8574862939264440827</stp>
        <tr r="H24" s="2"/>
      </tp>
      <tp t="s">
        <v>#N/A Requesting Data...4291233535</v>
        <stp/>
        <stp>BDP|2531087507884508923</stp>
        <tr r="G29" s="2"/>
      </tp>
      <tp t="s">
        <v>#N/A Requesting Data...4291378729</v>
        <stp/>
        <stp>BDP|7654121486242604312</stp>
        <tr r="H8" s="2"/>
      </tp>
      <tp>
        <v>259.04000000000002</v>
        <stp/>
        <stp>BDP|8055576064445977008|22</stp>
        <stp>AAPL US Equity</stp>
        <stp>LAST_PRICE</stp>
        <tr r="C11" s="2"/>
      </tp>
      <tp>
        <v>11</v>
        <stp/>
        <stp>BDP|17295736934121751557|22</stp>
        <stp>RR/ LN Equity</stp>
        <stp>RT_PX_CHG_NET_1D</stp>
        <tr r="D22" s="2"/>
      </tp>
      <tp>
        <v>-0.73259997367858887</v>
        <stp/>
        <stp>BDP|17434287841994420203|22</stp>
        <stp>OGN US Equity</stp>
        <stp>RT_PX_CHG_PCT_1D</stp>
        <tr r="E15" s="2"/>
      </tp>
      <tp t="s">
        <v>#N/A Requesting Data...4287333624</v>
        <stp/>
        <stp>BDP|6521228789233444753</stp>
        <tr r="F16" s="2"/>
      </tp>
      <tp t="s">
        <v>#N/A Requesting Data...4291258780</v>
        <stp/>
        <stp>BDP|2880315707031759854</stp>
        <tr r="I32" s="2"/>
      </tp>
      <tp>
        <v>0.154</v>
        <stp/>
        <stp>BDP|7276511259559037780|22</stp>
        <stp>MINE LN Equity</stp>
        <stp>RT_PX_CHG_NET_1D</stp>
        <tr r="D7" s="2"/>
      </tp>
      <tp>
        <v>157.91</v>
        <stp/>
        <stp>BDP|14363970263129756099|22</stp>
        <stp>USDJPY Curncy</stp>
        <stp>LAST_PRICE</stp>
        <tr r="C39" s="2"/>
      </tp>
      <tp t="s">
        <v>#N/A Requesting Data...4293401753</v>
        <stp/>
        <stp>BDP|5100045279723230840</stp>
        <tr r="G21" s="2"/>
      </tp>
      <tp t="s">
        <v>#N/A Requesting Data...4294449199</v>
        <stp/>
        <stp>BDP|4422205808806428929</stp>
        <tr r="H16" s="2"/>
      </tp>
      <tp t="s">
        <v>#N/A Requesting Data...4294416672</v>
        <stp/>
        <stp>BDP|7971448215898256306</stp>
        <tr r="H26" s="2"/>
      </tp>
      <tp t="s">
        <v>#N/A Requesting Data...4294891720</v>
        <stp/>
        <stp>BDP|5996727485324895793</stp>
        <tr r="H38" s="2"/>
      </tp>
      <tp t="s">
        <v>#N/A Requesting Data...141085691</v>
        <stp/>
        <stp>BDP|1494968822520771368</stp>
        <tr r="H35" s="2"/>
      </tp>
      <tp>
        <v>7.1999999999999998E-3</v>
        <stp/>
        <stp>BDP|9160268865810066574|22</stp>
        <stp>FXAC NA Equity</stp>
        <stp>RT_PX_CHG_NET_1D</stp>
        <tr r="D9" s="2"/>
      </tp>
      <tp t="s">
        <v>#N/A Requesting Data...41931970</v>
        <stp/>
        <stp>BDP|6855768278504934857</stp>
        <tr r="F5" s="2"/>
      </tp>
      <tp t="s">
        <v>#N/A Requesting Data...3472226623</v>
        <stp/>
        <stp>BDP|3710909662467700197</stp>
        <tr r="F19" s="2"/>
      </tp>
      <tp t="s">
        <v>#N/A Requesting Data...2682246080</v>
        <stp/>
        <stp>BDP|1480179701779847336</stp>
        <tr r="G18" s="2"/>
      </tp>
      <tp t="s">
        <v>#N/A Requesting Data...2046959110</v>
        <stp/>
        <stp>BDP|9055977960625307973</stp>
        <tr r="H10" s="2"/>
      </tp>
      <tp t="s">
        <v>#N/A Requesting Data...1687733519</v>
        <stp/>
        <stp>BDP|9340206715218029866</stp>
        <tr r="G25" s="2"/>
      </tp>
      <tp>
        <v>0.51</v>
        <stp/>
        <stp>BDP|17600299909934463117|22</stp>
        <stp>BRITISH AIRWAYS CDS EUR SR 5Y Corp</stp>
        <stp>RT_PX_CHG_NET_1D</stp>
        <tr r="D21" s="2"/>
      </tp>
      <tp>
        <v>1.1367000341415405</v>
        <stp/>
        <stp>BDP|12185746505589525950|22</stp>
        <stp>CON GR Equity</stp>
        <stp>RT_PX_CHG_PCT_1D</stp>
        <tr r="E34" s="2"/>
      </tp>
      <tp t="s">
        <v>#N/A Requesting Data...2641425831</v>
        <stp/>
        <stp>BDP|9216032135853656280</stp>
        <tr r="I3" s="2"/>
      </tp>
      <tp t="s">
        <v>#N/A Requesting Data...3142218492</v>
        <stp/>
        <stp>BDP|3944084777187934851</stp>
        <tr r="G16" s="2"/>
      </tp>
      <tp t="s">
        <v>#N/A Requesting Data...932373109</v>
        <stp/>
        <stp>BDP|9076312829667419423</stp>
        <tr r="F29" s="2"/>
      </tp>
      <tp>
        <v>-1.74</v>
        <stp/>
        <stp>BDP|13900049956600954022|22</stp>
        <stp>JNJ US Equity</stp>
        <stp>RT_PX_CHG_NET_1D</stp>
        <tr r="D13" s="2"/>
      </tp>
      <tp t="s">
        <v>#N/A Requesting Data...2637507981</v>
        <stp/>
        <stp>BDP|2138508063255915010</stp>
        <tr r="I22" s="2"/>
      </tp>
      <tp>
        <v>0.02</v>
        <stp/>
        <stp>BDP|4004730270766354589|22</stp>
        <stp>CBUK GY Equity</stp>
        <stp>RT_PX_CHG_NET_1D</stp>
        <tr r="D8" s="2"/>
      </tp>
      <tp t="s">
        <v>#N/A Requesting Data...1571150138</v>
        <stp/>
        <stp>BDP|9258452683346552723</stp>
        <tr r="I12" s="2"/>
      </tp>
      <tp t="s">
        <v>#N/A Requesting Data...727347392</v>
        <stp/>
        <stp>BDP|2370977224319975497</stp>
        <tr r="G41" s="2"/>
      </tp>
      <tp t="s">
        <v>#N/A Requesting Data...2624717718</v>
        <stp/>
        <stp>BDP|8129829560034375648</stp>
        <tr r="G6" s="2"/>
      </tp>
      <tp t="s">
        <v>#N/A Requesting Data...2418261403</v>
        <stp/>
        <stp>BDP|7145486937834576174</stp>
        <tr r="F40" s="2"/>
      </tp>
      <tp t="s">
        <v>#N/A Requesting Data...3722380879</v>
        <stp/>
        <stp>BDP|5848383224784863508</stp>
        <tr r="F25" s="2"/>
      </tp>
      <tp t="s">
        <v>#N/A Requesting Data...3297306440</v>
        <stp/>
        <stp>BDP|8160612005749764228</stp>
        <tr r="G23" s="2"/>
      </tp>
      <tp t="s">
        <v>#N/A Requesting Data...951209577</v>
        <stp/>
        <stp>BDP|4482602770772595206</stp>
        <tr r="G32" s="2"/>
      </tp>
      <tp>
        <v>-2.1521999835968018</v>
        <stp/>
        <stp>BDP|8869200470152263680|22</stp>
        <stp>NVDA US Equity</stp>
        <stp>RT_PX_CHG_PCT_1D</stp>
        <tr r="E3" s="2"/>
      </tp>
      <tp>
        <v>2.1770000457763672</v>
        <stp/>
        <stp>BDP|1103775576283436363|22</stp>
        <stp>MINE LN Equity</stp>
        <stp>RT_PX_CHG_PCT_1D</stp>
        <tr r="E7" s="2"/>
      </tp>
      <tp t="s">
        <v>#N/A Requesting Data...4055839318</v>
        <stp/>
        <stp>BDP|6892479126773010521</stp>
        <tr r="H2" s="2"/>
      </tp>
      <tp>
        <v>-0.49549999833106995</v>
        <stp/>
        <stp>BDP|1390436432229222236|22</stp>
        <stp>AAPL US Equity</stp>
        <stp>RT_PX_CHG_PCT_1D</stp>
        <tr r="E11" s="2"/>
      </tp>
      <tp t="s">
        <v>#N/A Requesting Data...630217372</v>
        <stp/>
        <stp>BDP|9068004636865649971</stp>
        <tr r="H18" s="2"/>
      </tp>
      <tp t="s">
        <v>#N/A Requesting Data...79661105</v>
        <stp/>
        <stp>BDP|6783590224027386159</stp>
        <tr r="I16" s="2"/>
      </tp>
      <tp t="s">
        <v>#N/A Requesting Data...470616383</v>
        <stp/>
        <stp>BDP|8003797495279612867</stp>
        <tr r="I41" s="2"/>
      </tp>
      <tp t="s">
        <v>#N/A Requesting Data...2500690974</v>
        <stp/>
        <stp>BDP|2092082027667507073</stp>
        <tr r="I5" s="2"/>
      </tp>
      <tp t="s">
        <v>#N/A Requesting Data...3828783675</v>
        <stp/>
        <stp>BDP|1470956287633257497</stp>
        <tr r="F14" s="2"/>
      </tp>
      <tp t="s">
        <v>#N/A Requesting Data...1922500917</v>
        <stp/>
        <stp>BDP|2283962262138117258</stp>
        <tr r="F36" s="2"/>
      </tp>
      <tp t="s">
        <v>#N/A Requesting Data...3230309776</v>
        <stp/>
        <stp>BDP|8256528446759141749</stp>
        <tr r="H34" s="2"/>
      </tp>
      <tp t="s">
        <v>#N/A Requesting Data...3260611153</v>
        <stp/>
        <stp>BDP|4948025246751409692</stp>
        <tr r="G22" s="2"/>
      </tp>
      <tp t="s">
        <v>#N/A Requesting Data...1022658309</v>
        <stp/>
        <stp>BDP|6273254855110508619</stp>
        <tr r="G31" s="2"/>
      </tp>
      <tp t="s">
        <v>#N/A Requesting Data...3449707024</v>
        <stp/>
        <stp>BDP|2402734528145119587</stp>
        <tr r="I23" s="2"/>
      </tp>
      <tp t="s">
        <v>#N/A Requesting Data...3525898271</v>
        <stp/>
        <stp>BDP|1237615668261784790</stp>
        <tr r="H22" s="2"/>
      </tp>
      <tp>
        <v>3.49</v>
        <stp/>
        <stp>BDP|14006008219251660958|22</stp>
        <stp>PG US Equity</stp>
        <stp>RT_PX_CHG_NET_1D</stp>
        <tr r="D27" s="2"/>
      </tp>
      <tp>
        <v>1.83</v>
        <stp/>
        <stp>BDP|15903019331601790942|22</stp>
        <stp>KO US Equity</stp>
        <stp>RT_PX_CHG_NET_1D</stp>
        <tr r="D33" s="2"/>
      </tp>
      <tp t="s">
        <v>#N/A Requesting Data...1558025308</v>
        <stp/>
        <stp>BDP|3424174147663723597</stp>
        <tr r="F12" s="2"/>
      </tp>
      <tp t="s">
        <v>#N/A Requesting Data...1419700850</v>
        <stp/>
        <stp>BDP|5613288614071837799</stp>
        <tr r="I2" s="2"/>
      </tp>
      <tp>
        <v>-0.05</v>
        <stp/>
        <stp>BDP|2986220289152141344|22</stp>
        <stp>CBU0 LN Equity</stp>
        <stp>RT_PX_CHG_NET_1D</stp>
        <tr r="D26" s="2"/>
      </tp>
      <tp t="s">
        <v>#N/A Requesting Data...2951411010</v>
        <stp/>
        <stp>BDP|1166463665435984633</stp>
        <tr r="I7" s="2"/>
      </tp>
      <tp t="s">
        <v>#N/A Requesting Data...2509963597</v>
        <stp/>
        <stp>BDP|5838727540121466777</stp>
        <tr r="F30" s="2"/>
      </tp>
      <tp t="s">
        <v>#N/A Requesting Data...3582086648</v>
        <stp/>
        <stp>BDP|8274731171491789949</stp>
        <tr r="G3" s="2"/>
      </tp>
      <tp t="s">
        <v>#N/A Requesting Data...2379997727</v>
        <stp/>
        <stp>BDP|2234948090263733171</stp>
        <tr r="I19" s="2"/>
      </tp>
      <tp t="s">
        <v>#N/A Requesting Data...2298272869</v>
        <stp/>
        <stp>BDP|7505554334637623678</stp>
        <tr r="G34" s="2"/>
      </tp>
      <tp t="s">
        <v>#N/A Requesting Data...1374230944</v>
        <stp/>
        <stp>BDP|8715484707489933547</stp>
        <tr r="I14" s="2"/>
      </tp>
      <tp t="s">
        <v>#N/A Requesting Data...2577073771</v>
        <stp/>
        <stp>BDP|9727812033650838365</stp>
        <tr r="I37" s="2"/>
      </tp>
      <tp t="s">
        <v>#N/A Requesting Data...146389828</v>
        <stp/>
        <stp>BDP|3672783143288450927</stp>
        <tr r="I10" s="2"/>
      </tp>
      <tp t="s">
        <v>#N/A Requesting Data...3572392944</v>
        <stp/>
        <stp>BDP|9318893502329070915</stp>
        <tr r="G9" s="2"/>
      </tp>
      <tp t="s">
        <v>#N/A Requesting Data...580493409</v>
        <stp/>
        <stp>BDP|8267719897556193183</stp>
        <tr r="I29" s="2"/>
      </tp>
      <tp t="s">
        <v>#N/A Requesting Data...98115968</v>
        <stp/>
        <stp>BDP|6650292152931839150</stp>
        <tr r="H39" s="2"/>
      </tp>
      <tp t="s">
        <v>#N/A Requesting Data...1883770653</v>
        <stp/>
        <stp>BDP|8139380886094184688</stp>
        <tr r="G28" s="2"/>
      </tp>
      <tp t="s">
        <v>#N/A Requesting Data...2369313503</v>
        <stp/>
        <stp>BDP|5378018664922345028</stp>
        <tr r="F28" s="2"/>
      </tp>
      <tp t="s">
        <v>#N/A Requesting Data...3448056605</v>
        <stp/>
        <stp>BDP|1777938155178798428</stp>
        <tr r="H13" s="2"/>
      </tp>
      <tp>
        <v>69.37</v>
        <stp/>
        <stp>BDP|16867424875097710325|22</stp>
        <stp>KO US Equity</stp>
        <stp>LAST_PRICE</stp>
        <tr r="C33" s="2"/>
      </tp>
      <tp t="s">
        <v>#N/A Requesting Data...2360712718</v>
        <stp/>
        <stp>BDP|4610781324404418766</stp>
        <tr r="G12" s="2"/>
      </tp>
      <tp t="s">
        <v>#N/A Requesting Data...983096659</v>
        <stp/>
        <stp>BDP|3526211911733869129</stp>
        <tr r="F37" s="2"/>
      </tp>
      <tp>
        <v>0.65751000000000004</v>
        <stp/>
        <stp>BDP|1668730348673544851|22</stp>
        <stp>IGLN LN Equity</stp>
        <stp>RT_PX_CHG_NET_1D</stp>
        <tr r="D6" s="2"/>
      </tp>
      <tp t="s">
        <v>#N/A Requesting Data...636109763</v>
        <stp/>
        <stp>BDP|8320361190952523221</stp>
        <tr r="F23" s="2"/>
      </tp>
      <tp t="s">
        <v>#N/A Requesting Data...4287320752</v>
        <stp/>
        <stp>BDP|2425136171527217175</stp>
        <tr r="H17" s="2"/>
      </tp>
      <tp>
        <v>-0.15600000321865082</v>
        <stp/>
        <stp>BDP|14152960264311473340|22</stp>
        <stp>EMB US Equity</stp>
        <stp>RT_PX_CHG_PCT_1D</stp>
        <tr r="E25" s="2"/>
      </tp>
      <tp>
        <v>497.4</v>
        <stp/>
        <stp>BDP|12356534598236212935|22</stp>
        <stp>3750 HK Equity</stp>
        <stp>LAST_PRICE</stp>
        <tr r="C16" s="2"/>
      </tp>
      <tp t="s">
        <v>#N/A Requesting Data...2738394261</v>
        <stp/>
        <stp>BDP|4529756216185433497</stp>
        <tr r="I4" s="2"/>
      </tp>
      <tp t="s">
        <v>#N/A Requesting Data...3079823846</v>
        <stp/>
        <stp>BDP|3737266429112626261</stp>
        <tr r="G24" s="2"/>
      </tp>
      <tp t="s">
        <v>#N/A Requesting Data...533594496</v>
        <stp/>
        <stp>BDP|7644498219727310693</stp>
        <tr r="H9" s="2"/>
      </tp>
      <tp>
        <v>0.16220000386238098</v>
        <stp/>
        <stp>BDP|8961997484903833060|22</stp>
        <stp>FXAC NA Equity</stp>
        <stp>RT_PX_CHG_PCT_1D</stp>
        <tr r="E9" s="2"/>
      </tp>
      <tp t="s">
        <v>#N/A Requesting Data...1125732999</v>
        <stp/>
        <stp>BDP|9154808792743677855</stp>
        <tr r="G11" s="2"/>
      </tp>
      <tp t="s">
        <v>#N/A Requesting Data...601978069</v>
        <stp/>
        <stp>BDP|8488664323876292937</stp>
        <tr r="H32" s="2"/>
      </tp>
      <tp t="s">
        <v>#N/A Requesting Data...765841963</v>
        <stp/>
        <stp>BDP|9071927210884761632</stp>
        <tr r="I38" s="2"/>
      </tp>
      <tp>
        <v>1.5817999839782715</v>
        <stp/>
        <stp>BDP|16688428108077739203|22</stp>
        <stp>BA/ LN Equity</stp>
        <stp>RT_PX_CHG_PCT_1D</stp>
        <tr r="E23" s="2"/>
      </tp>
      <tp>
        <v>204.68</v>
        <stp/>
        <stp>BDP|13806753115830245115|22</stp>
        <stp>AMD US Equity</stp>
        <stp>LAST_PRICE</stp>
        <tr r="C4" s="2"/>
      </tp>
      <tp>
        <v>87.22</v>
        <stp/>
        <stp>BDP|17470882591961521382|22</stp>
        <stp>SO US Equity</stp>
        <stp>LAST_PRICE</stp>
        <tr r="C30" s="2"/>
      </tp>
      <tp>
        <v>8.1300000000000008</v>
        <stp/>
        <stp>BDP|14042046800306843807|22</stp>
        <stp>OGN US Equity</stp>
        <stp>LAST_PRICE</stp>
        <tr r="C15" s="2"/>
      </tp>
      <tp>
        <v>1.49</v>
        <stp/>
        <stp>BDP|8429948576457362832|22</stp>
        <stp>SBUX US Equity</stp>
        <stp>RT_PX_CHG_NET_1D</stp>
        <tr r="D36" s="2"/>
      </tp>
      <tp>
        <v>90.53</v>
        <stp/>
        <stp>BDP|8263106965958046051|22</stp>
        <stp>NFLX US Equity</stp>
        <stp>LAST_PRICE</stp>
        <tr r="C35" s="2"/>
      </tp>
      <tp>
        <v>185.04</v>
        <stp/>
        <stp>BDP|2630581548609766860|22</stp>
        <stp>NVDA US Equity</stp>
        <stp>LAST_PRICE</stp>
        <tr r="C3" s="2"/>
      </tp>
      <tp>
        <v>1283.5</v>
        <stp/>
        <stp>BDP|12835113743389862241|22</stp>
        <stp>RR/ LN Equity</stp>
        <stp>LAST_PRICE</stp>
        <tr r="C22" s="2"/>
      </tp>
      <tp>
        <v>6921.46</v>
        <stp/>
        <stp>BDP|2596990609892593565|22</stp>
        <stp>SPX Index</stp>
        <stp>LAST_PRICE</stp>
        <tr r="C2" s="2"/>
      </tp>
      <tp t="s">
        <v>#N/A Requesting Data...770792533</v>
        <stp/>
        <stp>BDP|79426159024995079</stp>
        <tr r="G2" s="2"/>
      </tp>
      <tp>
        <v>908.91989999999998</v>
        <stp/>
        <stp>BDP|11739359662249823397|22</stp>
        <stp>JGB1X SW Equity</stp>
        <stp>LAST_PRICE</stp>
        <tr r="C37" s="2"/>
      </tp>
      <tp>
        <v>154.71</v>
        <stp/>
        <stp>BDP|7419119401472888737|22</stp>
        <stp>CBU0 LN Equity</stp>
        <stp>LAST_PRICE</stp>
        <tr r="C26" s="2"/>
      </tp>
      <tp t="s">
        <v>#N/A Requesting Data...2434232853</v>
        <stp/>
        <stp>BDP|357729521474728481</stp>
        <tr r="G40" s="2"/>
      </tp>
      <tp>
        <v>-4.07</v>
        <stp/>
        <stp>BDP|11207419032966624738|22</stp>
        <stp>NVDA US Equity</stp>
        <stp>RT_PX_CHG_NET_1D</stp>
        <tr r="D3" s="2"/>
      </tp>
      <tp t="s">
        <v>#N/A N/A</v>
        <stp/>
        <stp>BDP|922690474203122722</stp>
        <tr r="J2" s="2"/>
      </tp>
      <tp t="s">
        <v>#N/A Requesting Data...113437923</v>
        <stp/>
        <stp>BDP|760440623146666554</stp>
        <tr r="F34" s="2"/>
      </tp>
      <tp>
        <v>-3.229999914765358E-2</v>
        <stp/>
        <stp>BDP|13226202059161788941|22</stp>
        <stp>CBU0 LN Equity</stp>
        <stp>RT_PX_CHG_PCT_1D</stp>
        <tr r="E26" s="2"/>
      </tp>
      <tp t="s">
        <v>#N/A Requesting Data...931698789</v>
        <stp/>
        <stp>BDP|483229239342525738</stp>
        <tr r="F17" s="2"/>
      </tp>
      <tp>
        <v>-2.63</v>
        <stp/>
        <stp>BDP|10942320600164745753|22</stp>
        <stp>META US Equity</stp>
        <stp>RT_PX_CHG_NET_1D</stp>
        <tr r="D17" s="2"/>
      </tp>
      <tp>
        <v>227.38</v>
        <stp/>
        <stp>BDP|4497697997395543196|22</stp>
        <stp>BA US Equity</stp>
        <stp>LAST_PRICE</stp>
        <tr r="C20" s="2"/>
      </tp>
      <tp>
        <v>-0.22040000557899475</v>
        <stp/>
        <stp>BDP|14505828566708507481|22</stp>
        <stp>NFLX US Equity</stp>
        <stp>RT_PX_CHG_PCT_1D</stp>
        <tr r="E35" s="2"/>
      </tp>
      <tp t="s">
        <v>#N/A Requesting Data...2611843366</v>
        <stp/>
        <stp>BDP|310580161743281787</stp>
        <tr r="H42" s="2"/>
      </tp>
      <tp>
        <v>0.19</v>
        <stp/>
        <stp>BDP|16162101806491084768|22</stp>
        <stp>NEXT US Equity</stp>
        <stp>RT_PX_CHG_NET_1D</stp>
        <tr r="D29" s="2"/>
      </tp>
      <tp t="s">
        <v>#N/A Requesting Data...1453860256</v>
        <stp/>
        <stp>BDP|847331005892328754</stp>
        <tr r="I17" s="2"/>
      </tp>
      <tp t="s">
        <v>#N/A Requesting Data...2295667559</v>
        <stp/>
        <stp>BDP|242518510675506727</stp>
        <tr r="H33" s="2"/>
      </tp>
      <tp>
        <v>3.7848999500274658</v>
        <stp/>
        <stp>BDP|16966964530970065805|22</stp>
        <stp>NEXT US Equity</stp>
        <stp>RT_PX_CHG_PCT_1D</stp>
        <tr r="E29" s="2"/>
      </tp>
      <tp t="s">
        <v>#N/A Requesting Data...2921518997</v>
        <stp/>
        <stp>BDP|297532439996291070</stp>
        <tr r="I35" s="2"/>
      </tp>
      <tp>
        <v>-0.40540000796318054</v>
        <stp/>
        <stp>BDP|14686532303935796165|22</stp>
        <stp>META US Equity</stp>
        <stp>RT_PX_CHG_PCT_1D</stp>
        <tr r="E17" s="2"/>
      </tp>
      <tp>
        <v>4.7300000000000004</v>
        <stp/>
        <stp>BDP|11062202761214578004|22</stp>
        <stp>AMZN US Equity</stp>
        <stp>RT_PX_CHG_NET_1D</stp>
        <tr r="D28" s="2"/>
      </tp>
      <tp t="s">
        <v>#N/A Requesting Data...3430916926</v>
        <stp/>
        <stp>BDP|467282091859039011</stp>
        <tr r="I42" s="2"/>
      </tp>
      <tp>
        <v>-0.2</v>
        <stp/>
        <stp>BDP|17616121733958148081|22</stp>
        <stp>NFLX US Equity</stp>
        <stp>RT_PX_CHG_NET_1D</stp>
        <tr r="D35" s="2"/>
      </tp>
      <tp>
        <v>0.71100002527236938</v>
        <stp/>
        <stp>BDP|7121948149318161869|22</stp>
        <stp>BRITISH AIRWAYS CDS EUR SR 5Y Corp</stp>
        <stp>RT_PX_CHG_PCT_1D</stp>
        <tr r="E21" s="2"/>
      </tp>
      <tp>
        <v>1.9580999612808228</v>
        <stp/>
        <stp>BDP|11570168183733824919|22</stp>
        <stp>AMZN US Equity</stp>
        <stp>RT_PX_CHG_PCT_1D</stp>
        <tr r="E28" s="2"/>
      </tp>
      <tp t="s">
        <v>#N/A Requesting Data...2919715884</v>
        <stp/>
        <stp>BDP|722408630037416887</stp>
        <tr r="F11" s="2"/>
      </tp>
      <tp t="s">
        <v>#N/A Requesting Data...2909228458</v>
        <stp/>
        <stp>BDP|457871624171042199</stp>
        <tr r="F18" s="2"/>
      </tp>
      <tp>
        <v>-1.29</v>
        <stp/>
        <stp>BDP|13009081181692174557|22</stp>
        <stp>AAPL US Equity</stp>
        <stp>RT_PX_CHG_NET_1D</stp>
        <tr r="D11" s="2"/>
      </tp>
      <tp>
        <v>0.42809998989105225</v>
        <stp/>
        <stp>BDP|398813434321843671|22</stp>
        <stp>CBUK GY Equity</stp>
        <stp>RT_PX_CHG_PCT_1D</stp>
        <tr r="E8" s="2"/>
      </tp>
      <tp>
        <v>32</v>
        <stp/>
        <stp>BDP|2393427917279107613|22</stp>
        <stp>BA/ LN Equity</stp>
        <stp>RT_PX_CHG_NET_1D</stp>
        <tr r="D23" s="2"/>
      </tp>
      <tp>
        <v>141.53</v>
        <stp/>
        <stp>BDP|3192345212236175391|22</stp>
        <stp>PG US Equity</stp>
        <stp>LAST_PRICE</stp>
        <tr r="C27" s="2"/>
      </tp>
      <tp>
        <v>3.9599999785423279E-2</v>
        <stp/>
        <stp>BDP|8465042404690683837|22</stp>
        <stp>PFE US Equity</stp>
        <stp>RT_PX_CHG_PCT_1D</stp>
        <tr r="E14" s="2"/>
      </tp>
      <tp>
        <v>-2.5425999164581299</v>
        <stp/>
        <stp>BDP|9328385413396113468|22</stp>
        <stp>AMD US Equity</stp>
        <stp>RT_PX_CHG_PCT_1D</stp>
        <tr r="E4" s="2"/>
      </tp>
      <tp>
        <v>-0.15</v>
        <stp/>
        <stp>BDP|9851366812887695049|22</stp>
        <stp>EMB US Equity</stp>
        <stp>RT_PX_CHG_NET_1D</stp>
        <tr r="D25" s="2"/>
      </tp>
      <tp>
        <v>-1.08</v>
        <stp/>
        <stp>BDP|3162420132519898431|22</stp>
        <stp>MDT US Equity</stp>
        <stp>RT_PX_CHG_NET_1D</stp>
        <tr r="D24" s="2"/>
      </tp>
      <tp>
        <v>0.01</v>
        <stp/>
        <stp>BDP|6617145454562277820|22</stp>
        <stp>PFE US Equity</stp>
        <stp>RT_PX_CHG_NET_1D</stp>
        <tr r="D14" s="2"/>
      </tp>
      <tp>
        <v>2.9199000000000002</v>
        <stp/>
        <stp>BDP|11103936965802558014|22</stp>
        <stp>JGB1X SW Equity</stp>
        <stp>RT_PX_CHG_NET_1D</stp>
        <tr r="D37" s="2"/>
      </tp>
      <tp>
        <v>-0.79000002145767212</v>
        <stp/>
        <stp>BDP|7689669570202669942|22</stp>
        <stp>AIR FP Equity</stp>
        <stp>RT_PX_CHG_PCT_1D</stp>
        <tr r="E19" s="2"/>
      </tp>
      <tp>
        <v>0.86440002918243408</v>
        <stp/>
        <stp>BDP|1655203877408620747|22</stp>
        <stp>RR/ LN Equity</stp>
        <stp>RT_PX_CHG_PCT_1D</stp>
        <tr r="E22" s="2"/>
      </tp>
      <tp>
        <v>1.0745999813079834</v>
        <stp/>
        <stp>BDP|15725657548819232897|22</stp>
        <stp>GOOGL US Equity</stp>
        <stp>RT_PX_CHG_PCT_1D</stp>
        <tr r="E18" s="2"/>
      </tp>
      <tp>
        <v>-22.9</v>
        <stp/>
        <stp>BDP|4474274498790427023|22</stp>
        <stp>LLY US Equity</stp>
        <stp>RT_PX_CHG_NET_1D</stp>
        <tr r="D12" s="2"/>
      </tp>
      <tp>
        <v>-5.34</v>
        <stp/>
        <stp>BDP|5458982140199075924|22</stp>
        <stp>AMD US Equity</stp>
        <stp>RT_PX_CHG_NET_1D</stp>
        <tr r="D4" s="2"/>
      </tp>
      <tp>
        <v>-2.0666000843048096</v>
        <stp/>
        <stp>BDP|5266497981205363910|22</stp>
        <stp>LLY US Equity</stp>
        <stp>RT_PX_CHG_PCT_1D</stp>
        <tr r="E12" s="2"/>
      </tp>
      <tp>
        <v>1.7187999486923218</v>
        <stp/>
        <stp>BDP|16664691158481139397|22</stp>
        <stp>SBUX US Equity</stp>
        <stp>RT_PX_CHG_PCT_1D</stp>
        <tr r="E36" s="2"/>
      </tp>
      <tp>
        <v>-10</v>
        <stp/>
        <stp>BDP|364995093153659099|22</stp>
        <stp>JEMA LN Equity</stp>
        <stp>RT_PX_CHG_NET_1D</stp>
        <tr r="D31" s="2"/>
      </tp>
      <tp>
        <v>-0.06</v>
        <stp/>
        <stp>BDP|4208103477643752873|22</stp>
        <stp>OGN US Equity</stp>
        <stp>RT_PX_CHG_NET_1D</stp>
        <tr r="D15" s="2"/>
      </tp>
      <tp>
        <v>-1.0824999809265137</v>
        <stp/>
        <stp>BDP|1727982507460178493|22</stp>
        <stp>MDT US Equity</stp>
        <stp>RT_PX_CHG_PCT_1D</stp>
        <tr r="E24" s="2"/>
      </tp>
      <tp>
        <v>-0.83859997987747192</v>
        <stp/>
        <stp>BDP|9635873607726334164|22</stp>
        <stp>JNJ US Equity</stp>
        <stp>RT_PX_CHG_PCT_1D</stp>
        <tr r="E13" s="2"/>
      </tp>
      <tp>
        <v>0.78</v>
        <stp/>
        <stp>BDP|3832354416143870370|22</stp>
        <stp>CON GR Equity</stp>
        <stp>RT_PX_CHG_NET_1D</stp>
        <tr r="D34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zoomScale="96" zoomScaleNormal="96" workbookViewId="0">
      <selection activeCell="J2" sqref="J2"/>
    </sheetView>
  </sheetViews>
  <sheetFormatPr defaultRowHeight="15" x14ac:dyDescent="0.25"/>
  <cols>
    <col min="1" max="1" width="17.140625" customWidth="1"/>
    <col min="2" max="2" width="19" customWidth="1"/>
    <col min="3" max="3" width="26.7109375" customWidth="1"/>
    <col min="4" max="4" width="15.7109375" customWidth="1"/>
    <col min="5" max="5" width="20.28515625" customWidth="1"/>
    <col min="6" max="6" width="54.85546875" customWidth="1"/>
    <col min="7" max="7" width="12.5703125" customWidth="1"/>
    <col min="8" max="8" width="7.42578125" customWidth="1"/>
    <col min="9" max="9" width="19" customWidth="1"/>
  </cols>
  <sheetData>
    <row r="1" spans="1:10" x14ac:dyDescent="0.25">
      <c r="A1" s="1" t="s">
        <v>0</v>
      </c>
      <c r="B1" s="1" t="s">
        <v>50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51</v>
      </c>
    </row>
    <row r="2" spans="1:10" x14ac:dyDescent="0.25">
      <c r="A2" t="s">
        <v>9</v>
      </c>
      <c r="B2">
        <v>300</v>
      </c>
      <c r="C2">
        <f>_xll.BDP("SPX Index","LAST_PRICE")</f>
        <v>6921.46</v>
      </c>
      <c r="D2">
        <f>_xll.BDP("SPX Index","RT_PX_CHG_NET_1D")</f>
        <v>0.53</v>
      </c>
      <c r="E2">
        <f>_xll.BDP("SPX Index","RT_PX_CHG_PCT_1D")</f>
        <v>7.6999999582767487E-3</v>
      </c>
      <c r="F2" t="str">
        <f>_xll.BDP("SPX Index","NAME")</f>
        <v>S&amp;P 500 INDEX</v>
      </c>
      <c r="G2" t="str">
        <f>_xll.BDP("SPX Index","REL_YTD")</f>
        <v>#N/A Field Not Applicable</v>
      </c>
      <c r="H2" t="str">
        <f>_xll.BDP("SPX Index","CRNCY")</f>
        <v>USD</v>
      </c>
      <c r="I2" t="str">
        <f>_xll.BDP("SPX Index","SECURITY_TYP")</f>
        <v>Equity Index</v>
      </c>
      <c r="J2" t="str" cm="1">
        <f t="array" ref="J2">_xll.BDP("LLY US Equity", "EQY_BETA_BMK")</f>
        <v>#N/A Invalid Field</v>
      </c>
    </row>
    <row r="3" spans="1:10" x14ac:dyDescent="0.25">
      <c r="A3" t="s">
        <v>10</v>
      </c>
      <c r="B3">
        <v>50</v>
      </c>
      <c r="C3">
        <f>_xll.BDP("NVDA US Equity","LAST_PRICE")</f>
        <v>185.04</v>
      </c>
      <c r="D3">
        <f>_xll.BDP("NVDA US Equity","RT_PX_CHG_NET_1D")</f>
        <v>-4.07</v>
      </c>
      <c r="E3">
        <f>_xll.BDP("NVDA US Equity","RT_PX_CHG_PCT_1D")</f>
        <v>-2.1521999835968018</v>
      </c>
      <c r="F3" t="str">
        <f>_xll.BDP("NVDA US Equity","NAME")</f>
        <v>NVIDIA CORP</v>
      </c>
      <c r="G3">
        <f>_xll.BDP("NVDA US Equity","REL_YTD")</f>
        <v>-1.8717060000000001</v>
      </c>
      <c r="H3" t="str">
        <f>_xll.BDP("NVDA US Equity","CRNCY")</f>
        <v>USD</v>
      </c>
      <c r="I3" t="str">
        <f>_xll.BDP("NVDA US Equity","SECURITY_TYP")</f>
        <v>Common Stock</v>
      </c>
    </row>
    <row r="4" spans="1:10" x14ac:dyDescent="0.25">
      <c r="A4" t="s">
        <v>11</v>
      </c>
      <c r="B4">
        <v>50</v>
      </c>
      <c r="C4">
        <f>_xll.BDP("AMD US Equity","LAST_PRICE")</f>
        <v>204.68</v>
      </c>
      <c r="D4">
        <f>_xll.BDP("AMD US Equity","RT_PX_CHG_NET_1D")</f>
        <v>-5.34</v>
      </c>
      <c r="E4">
        <f>_xll.BDP("AMD US Equity","RT_PX_CHG_PCT_1D")</f>
        <v>-2.5425999164581299</v>
      </c>
      <c r="F4" t="str">
        <f>_xll.BDP("AMD US Equity","NAME")</f>
        <v>ADVANCED MICRO DEVICES</v>
      </c>
      <c r="G4">
        <f>_xll.BDP("AMD US Equity","REL_YTD")</f>
        <v>-5.4754740000000002</v>
      </c>
      <c r="H4" t="str">
        <f>_xll.BDP("AMD US Equity","CRNCY")</f>
        <v>USD</v>
      </c>
      <c r="I4" t="str">
        <f>_xll.BDP("AMD US Equity","SECURITY_TYP")</f>
        <v>Common Stock</v>
      </c>
    </row>
    <row r="5" spans="1:10" x14ac:dyDescent="0.25">
      <c r="A5" t="s">
        <v>12</v>
      </c>
      <c r="B5">
        <v>100</v>
      </c>
      <c r="C5">
        <f>_xll.BDP("UKX Index","LAST_PRICE")</f>
        <v>10104.870000000001</v>
      </c>
      <c r="D5">
        <f>_xll.BDP("UKX Index","RT_PX_CHG_NET_1D")</f>
        <v>60.18</v>
      </c>
      <c r="E5">
        <f>_xll.BDP("UKX Index","RT_PX_CHG_PCT_1D")</f>
        <v>0.59909999370574951</v>
      </c>
      <c r="F5" t="str">
        <f>_xll.BDP("UKX Index","NAME")</f>
        <v>FTSE 100 INDEX</v>
      </c>
      <c r="G5" t="str">
        <f>_xll.BDP("UKX Index","REL_YTD")</f>
        <v>#N/A Field Not Applicable</v>
      </c>
      <c r="H5" t="str">
        <f>_xll.BDP("UKX Index","CRNCY")</f>
        <v>GBP</v>
      </c>
      <c r="I5" t="str">
        <f>_xll.BDP("UKX Index","SECURITY_TYP")</f>
        <v>Equity Index</v>
      </c>
    </row>
    <row r="6" spans="1:10" x14ac:dyDescent="0.25">
      <c r="A6" t="s">
        <v>13</v>
      </c>
      <c r="B6">
        <v>300</v>
      </c>
      <c r="C6">
        <f>_xll.BDP("IGLN LN Equity","LAST_PRICE")</f>
        <v>87.225009999999997</v>
      </c>
      <c r="D6">
        <f>_xll.BDP("IGLN LN Equity","RT_PX_CHG_NET_1D")</f>
        <v>0.65751000000000004</v>
      </c>
      <c r="E6">
        <f>_xll.BDP("IGLN LN Equity","RT_PX_CHG_PCT_1D")</f>
        <v>0.75950002670288086</v>
      </c>
      <c r="F6" t="str">
        <f>_xll.BDP("IGLN LN Equity","NAME")</f>
        <v>ISHARES PHYSICAL GOLD ETC</v>
      </c>
      <c r="G6">
        <f>_xll.BDP("IGLN LN Equity","REL_YTD")</f>
        <v>2.2543890000000002</v>
      </c>
      <c r="H6" t="str">
        <f>_xll.BDP("IGLN LN Equity","CRNCY")</f>
        <v>USD</v>
      </c>
      <c r="I6" t="str">
        <f>_xll.BDP("IGLN LN Equity","SECURITY_TYP")</f>
        <v>ETP</v>
      </c>
    </row>
    <row r="7" spans="1:10" x14ac:dyDescent="0.25">
      <c r="A7" t="s">
        <v>14</v>
      </c>
      <c r="B7">
        <v>300</v>
      </c>
      <c r="C7">
        <f>_xll.BDP("MINE LN Equity","LAST_PRICE")</f>
        <v>7.2279999999999998</v>
      </c>
      <c r="D7">
        <f>_xll.BDP("MINE LN Equity","RT_PX_CHG_NET_1D")</f>
        <v>0.154</v>
      </c>
      <c r="E7">
        <f>_xll.BDP("MINE LN Equity","RT_PX_CHG_PCT_1D")</f>
        <v>2.1770000457763672</v>
      </c>
      <c r="F7" t="str">
        <f>_xll.BDP("MINE LN Equity","NAME")</f>
        <v>ISHARES COPPER MINERS UCITS</v>
      </c>
      <c r="G7">
        <f>_xll.BDP("MINE LN Equity","REL_YTD")</f>
        <v>4.1792769999999999</v>
      </c>
      <c r="H7" t="str">
        <f>_xll.BDP("MINE LN Equity","CRNCY")</f>
        <v>GBP</v>
      </c>
      <c r="I7" t="str">
        <f>_xll.BDP("MINE LN Equity","SECURITY_TYP")</f>
        <v>ETP</v>
      </c>
    </row>
    <row r="8" spans="1:10" x14ac:dyDescent="0.25">
      <c r="A8" t="s">
        <v>15</v>
      </c>
      <c r="B8">
        <v>100</v>
      </c>
      <c r="C8">
        <f>_xll.BDP("CBUK GY Equity","LAST_PRICE")</f>
        <v>4.6920000000000002</v>
      </c>
      <c r="D8">
        <f>_xll.BDP("CBUK GY Equity","RT_PX_CHG_NET_1D")</f>
        <v>0.02</v>
      </c>
      <c r="E8">
        <f>_xll.BDP("CBUK GY Equity","RT_PX_CHG_PCT_1D")</f>
        <v>0.42809998989105225</v>
      </c>
      <c r="F8" t="str">
        <f>_xll.BDP("CBUK GY Equity","NAME")</f>
        <v>ISHARES CHINA TECH USD ACC</v>
      </c>
      <c r="G8">
        <f>_xll.BDP("CBUK GY Equity","REL_YTD")</f>
        <v>0.82110819999999995</v>
      </c>
      <c r="H8" t="str">
        <f>_xll.BDP("CBUK GY Equity","CRNCY")</f>
        <v>EUR</v>
      </c>
      <c r="I8" t="str">
        <f>_xll.BDP("CBUK GY Equity","SECURITY_TYP")</f>
        <v>ETP</v>
      </c>
    </row>
    <row r="9" spans="1:10" x14ac:dyDescent="0.25">
      <c r="A9" t="s">
        <v>16</v>
      </c>
      <c r="B9">
        <v>100</v>
      </c>
      <c r="C9">
        <f>_xll.BDP("FXAC NA Equity","LAST_PRICE")</f>
        <v>4.4463999999999997</v>
      </c>
      <c r="D9">
        <f>_xll.BDP("FXAC NA Equity","RT_PX_CHG_NET_1D")</f>
        <v>7.1999999999999998E-3</v>
      </c>
      <c r="E9">
        <f>_xll.BDP("FXAC NA Equity","RT_PX_CHG_PCT_1D")</f>
        <v>0.16220000386238098</v>
      </c>
      <c r="F9" t="str">
        <f>_xll.BDP("FXAC NA Equity","NAME")</f>
        <v>ISHARES CHINA LARGE CAP USDA</v>
      </c>
      <c r="G9">
        <f>_xll.BDP("FXAC NA Equity","REL_YTD")</f>
        <v>-0.27920329999999999</v>
      </c>
      <c r="H9" t="str">
        <f>_xll.BDP("FXAC NA Equity","CRNCY")</f>
        <v>EUR</v>
      </c>
      <c r="I9" t="str">
        <f>_xll.BDP("FXAC NA Equity","SECURITY_TYP")</f>
        <v>ETP</v>
      </c>
    </row>
    <row r="10" spans="1:10" x14ac:dyDescent="0.25">
      <c r="A10" t="s">
        <v>17</v>
      </c>
      <c r="B10">
        <v>10</v>
      </c>
      <c r="C10">
        <f>_xll.BDP("2899 HK Equity","LAST_PRICE")</f>
        <v>38.26</v>
      </c>
      <c r="D10">
        <f>_xll.BDP("2899 HK Equity","RT_PX_CHG_NET_1D")</f>
        <v>1.06</v>
      </c>
      <c r="E10">
        <f>_xll.BDP("2899 HK Equity","RT_PX_CHG_PCT_1D")</f>
        <v>2.8494999408721924</v>
      </c>
      <c r="F10" t="str">
        <f>_xll.BDP("2899 HK Equity","NAME")</f>
        <v>ZIJIN MINING GROUP CO LTD-H</v>
      </c>
      <c r="G10">
        <f>_xll.BDP("2899 HK Equity","REL_YTD")</f>
        <v>4.8319000000000001</v>
      </c>
      <c r="H10" t="str">
        <f>_xll.BDP("2899 HK Equity","CRNCY")</f>
        <v>HKD</v>
      </c>
      <c r="I10" t="str">
        <f>_xll.BDP("2899 HK Equity","SECURITY_TYP")</f>
        <v>Common Stock</v>
      </c>
    </row>
    <row r="11" spans="1:10" x14ac:dyDescent="0.25">
      <c r="A11" t="s">
        <v>18</v>
      </c>
      <c r="B11">
        <v>20</v>
      </c>
      <c r="C11">
        <f>_xll.BDP("AAPL US Equity","LAST_PRICE")</f>
        <v>259.04000000000002</v>
      </c>
      <c r="D11">
        <f>_xll.BDP("AAPL US Equity","RT_PX_CHG_NET_1D")</f>
        <v>-1.29</v>
      </c>
      <c r="E11">
        <f>_xll.BDP("AAPL US Equity","RT_PX_CHG_PCT_1D")</f>
        <v>-0.49549999833106995</v>
      </c>
      <c r="F11" t="str">
        <f>_xll.BDP("AAPL US Equity","NAME")</f>
        <v>APPLE INC</v>
      </c>
      <c r="G11">
        <f>_xll.BDP("AAPL US Equity","REL_YTD")</f>
        <v>-5.761361</v>
      </c>
      <c r="H11" t="str">
        <f>_xll.BDP("AAPL US Equity","CRNCY")</f>
        <v>USD</v>
      </c>
      <c r="I11" t="str">
        <f>_xll.BDP("AAPL US Equity","SECURITY_TYP")</f>
        <v>Common Stock</v>
      </c>
    </row>
    <row r="12" spans="1:10" x14ac:dyDescent="0.25">
      <c r="A12" t="s">
        <v>19</v>
      </c>
      <c r="B12">
        <v>20</v>
      </c>
      <c r="C12">
        <f>_xll.BDP("LLY US Equity","LAST_PRICE")</f>
        <v>1085.19</v>
      </c>
      <c r="D12">
        <f>_xll.BDP("LLY US Equity","RT_PX_CHG_NET_1D")</f>
        <v>-22.9</v>
      </c>
      <c r="E12">
        <f>_xll.BDP("LLY US Equity","RT_PX_CHG_PCT_1D")</f>
        <v>-2.0666000843048096</v>
      </c>
      <c r="F12" t="str">
        <f>_xll.BDP("LLY US Equity","NAME")</f>
        <v>ELI LILLY &amp; CO</v>
      </c>
      <c r="G12">
        <f>_xll.BDP("LLY US Equity","REL_YTD")</f>
        <v>-0.13022800000000001</v>
      </c>
      <c r="H12" t="str">
        <f>_xll.BDP("LLY US Equity","CRNCY")</f>
        <v>USD</v>
      </c>
      <c r="I12" t="str">
        <f>_xll.BDP("LLY US Equity","SECURITY_TYP")</f>
        <v>Common Stock</v>
      </c>
    </row>
    <row r="13" spans="1:10" x14ac:dyDescent="0.25">
      <c r="A13" t="s">
        <v>20</v>
      </c>
      <c r="B13">
        <v>20</v>
      </c>
      <c r="C13">
        <f>_xll.BDP("JNJ US Equity","LAST_PRICE")</f>
        <v>205.75</v>
      </c>
      <c r="D13">
        <f>_xll.BDP("JNJ US Equity","RT_PX_CHG_NET_1D")</f>
        <v>-1.74</v>
      </c>
      <c r="E13">
        <f>_xll.BDP("JNJ US Equity","RT_PX_CHG_PCT_1D")</f>
        <v>-0.83859997987747192</v>
      </c>
      <c r="F13" t="str">
        <f>_xll.BDP("JNJ US Equity","NAME")</f>
        <v>JOHNSON &amp; JOHNSON</v>
      </c>
      <c r="G13">
        <f>_xll.BDP("JNJ US Equity","REL_YTD")</f>
        <v>-1.670941</v>
      </c>
      <c r="H13" t="str">
        <f>_xll.BDP("JNJ US Equity","CRNCY")</f>
        <v>USD</v>
      </c>
      <c r="I13" t="str">
        <f>_xll.BDP("JNJ US Equity","SECURITY_TYP")</f>
        <v>Common Stock</v>
      </c>
    </row>
    <row r="14" spans="1:10" x14ac:dyDescent="0.25">
      <c r="A14" t="s">
        <v>21</v>
      </c>
      <c r="B14">
        <v>20</v>
      </c>
      <c r="C14">
        <f>_xll.BDP("PFE US Equity","LAST_PRICE")</f>
        <v>25.29</v>
      </c>
      <c r="D14">
        <f>_xll.BDP("PFE US Equity","RT_PX_CHG_NET_1D")</f>
        <v>0.01</v>
      </c>
      <c r="E14">
        <f>_xll.BDP("PFE US Equity","RT_PX_CHG_PCT_1D")</f>
        <v>3.9599999785423279E-2</v>
      </c>
      <c r="F14" t="str">
        <f>_xll.BDP("PFE US Equity","NAME")</f>
        <v>PFIZER INC</v>
      </c>
      <c r="G14">
        <f>_xll.BDP("PFE US Equity","REL_YTD")</f>
        <v>0.45162180000000002</v>
      </c>
      <c r="H14" t="str">
        <f>_xll.BDP("PFE US Equity","CRNCY")</f>
        <v>USD</v>
      </c>
      <c r="I14" t="str">
        <f>_xll.BDP("PFE US Equity","SECURITY_TYP")</f>
        <v>Common Stock</v>
      </c>
    </row>
    <row r="15" spans="1:10" x14ac:dyDescent="0.25">
      <c r="A15" t="s">
        <v>22</v>
      </c>
      <c r="B15">
        <v>20</v>
      </c>
      <c r="C15">
        <f>_xll.BDP("OGN US Equity","LAST_PRICE")</f>
        <v>8.1300000000000008</v>
      </c>
      <c r="D15">
        <f>_xll.BDP("OGN US Equity","RT_PX_CHG_NET_1D")</f>
        <v>-0.06</v>
      </c>
      <c r="E15">
        <f>_xll.BDP("OGN US Equity","RT_PX_CHG_PCT_1D")</f>
        <v>-0.73259997367858887</v>
      </c>
      <c r="F15" t="str">
        <f>_xll.BDP("OGN US Equity","NAME")</f>
        <v>ORGANON &amp; CO</v>
      </c>
      <c r="G15">
        <f>_xll.BDP("OGN US Equity","REL_YTD")</f>
        <v>12.14472</v>
      </c>
      <c r="H15" t="str">
        <f>_xll.BDP("OGN US Equity","CRNCY")</f>
        <v>USD</v>
      </c>
      <c r="I15" t="str">
        <f>_xll.BDP("OGN US Equity","SECURITY_TYP")</f>
        <v>Common Stock</v>
      </c>
    </row>
    <row r="16" spans="1:10" x14ac:dyDescent="0.25">
      <c r="A16" t="s">
        <v>23</v>
      </c>
      <c r="B16">
        <v>20</v>
      </c>
      <c r="C16">
        <f>_xll.BDP("3750 HK Equity","LAST_PRICE")</f>
        <v>497.4</v>
      </c>
      <c r="D16">
        <f>_xll.BDP("3750 HK Equity","RT_PX_CHG_NET_1D")</f>
        <v>-6.1</v>
      </c>
      <c r="E16">
        <f>_xll.BDP("3750 HK Equity","RT_PX_CHG_PCT_1D")</f>
        <v>-1.2115000486373901</v>
      </c>
      <c r="F16" t="str">
        <f>_xll.BDP("3750 HK Equity","NAME")</f>
        <v>CONTEMPORARY AMPEREX TECHN-H</v>
      </c>
      <c r="G16">
        <f>_xll.BDP("3750 HK Equity","REL_YTD")</f>
        <v>-3.8577129999999999</v>
      </c>
      <c r="H16" t="str">
        <f>_xll.BDP("3750 HK Equity","CRNCY")</f>
        <v>HKD</v>
      </c>
      <c r="I16" t="str">
        <f>_xll.BDP("3750 HK Equity","SECURITY_TYP")</f>
        <v>Common Stock</v>
      </c>
    </row>
    <row r="17" spans="1:9" x14ac:dyDescent="0.25">
      <c r="A17" t="s">
        <v>24</v>
      </c>
      <c r="B17">
        <v>20</v>
      </c>
      <c r="C17">
        <f>_xll.BDP("META US Equity","LAST_PRICE")</f>
        <v>646.05999999999995</v>
      </c>
      <c r="D17">
        <f>_xll.BDP("META US Equity","RT_PX_CHG_NET_1D")</f>
        <v>-2.63</v>
      </c>
      <c r="E17">
        <f>_xll.BDP("META US Equity","RT_PX_CHG_PCT_1D")</f>
        <v>-0.40540000796318054</v>
      </c>
      <c r="F17" t="str">
        <f>_xll.BDP("META US Equity","NAME")</f>
        <v>META PLATFORMS INC-CLASS A</v>
      </c>
      <c r="G17">
        <f>_xll.BDP("META US Equity","REL_YTD")</f>
        <v>-3.1996009999999999</v>
      </c>
      <c r="H17" t="str">
        <f>_xll.BDP("META US Equity","CRNCY")</f>
        <v>USD</v>
      </c>
      <c r="I17" t="str">
        <f>_xll.BDP("META US Equity","SECURITY_TYP")</f>
        <v>Common Stock</v>
      </c>
    </row>
    <row r="18" spans="1:9" x14ac:dyDescent="0.25">
      <c r="A18" t="s">
        <v>25</v>
      </c>
      <c r="B18">
        <v>20</v>
      </c>
      <c r="C18">
        <f>_xll.BDP("GOOGL US Equity","LAST_PRICE")</f>
        <v>325.44</v>
      </c>
      <c r="D18">
        <f>_xll.BDP("GOOGL US Equity","RT_PX_CHG_NET_1D")</f>
        <v>3.46</v>
      </c>
      <c r="E18">
        <f>_xll.BDP("GOOGL US Equity","RT_PX_CHG_PCT_1D")</f>
        <v>1.0745999813079834</v>
      </c>
      <c r="F18" t="str">
        <f>_xll.BDP("GOOGL US Equity","NAME")</f>
        <v>ALPHABET INC-CL A</v>
      </c>
      <c r="G18">
        <f>_xll.BDP("GOOGL US Equity","REL_YTD")</f>
        <v>2.833367</v>
      </c>
      <c r="H18" t="str">
        <f>_xll.BDP("GOOGL US Equity","CRNCY")</f>
        <v>USD</v>
      </c>
      <c r="I18" t="str">
        <f>_xll.BDP("GOOGL US Equity","SECURITY_TYP")</f>
        <v>Common Stock</v>
      </c>
    </row>
    <row r="19" spans="1:9" x14ac:dyDescent="0.25">
      <c r="A19" t="s">
        <v>26</v>
      </c>
      <c r="B19">
        <v>20</v>
      </c>
      <c r="C19">
        <f>_xll.BDP("AIR FP Equity","LAST_PRICE")</f>
        <v>213.5</v>
      </c>
      <c r="D19">
        <f>_xll.BDP("AIR FP Equity","RT_PX_CHG_NET_1D")</f>
        <v>-1.7</v>
      </c>
      <c r="E19">
        <f>_xll.BDP("AIR FP Equity","RT_PX_CHG_PCT_1D")</f>
        <v>-0.79000002145767212</v>
      </c>
      <c r="F19" t="str">
        <f>_xll.BDP("AIR FP Equity","NAME")</f>
        <v>AIRBUS SE</v>
      </c>
      <c r="G19">
        <f>_xll.BDP("AIR FP Equity","REL_YTD")</f>
        <v>5.3435949999999997</v>
      </c>
      <c r="H19" t="str">
        <f>_xll.BDP("AIR FP Equity","CRNCY")</f>
        <v>EUR</v>
      </c>
      <c r="I19" t="str">
        <f>_xll.BDP("AIR FP Equity","SECURITY_TYP")</f>
        <v>Common Stock</v>
      </c>
    </row>
    <row r="20" spans="1:9" x14ac:dyDescent="0.25">
      <c r="A20" t="s">
        <v>27</v>
      </c>
      <c r="B20">
        <v>20</v>
      </c>
      <c r="C20">
        <f>_xll.BDP("BA US Equity","LAST_PRICE")</f>
        <v>227.38</v>
      </c>
      <c r="D20">
        <f>_xll.BDP("BA US Equity","RT_PX_CHG_NET_1D")</f>
        <v>-0.74</v>
      </c>
      <c r="E20">
        <f>_xll.BDP("BA US Equity","RT_PX_CHG_PCT_1D")</f>
        <v>-0.32440000772476196</v>
      </c>
      <c r="F20" t="str">
        <f>_xll.BDP("BA US Equity","NAME")</f>
        <v>BOEING CO/THE</v>
      </c>
      <c r="G20">
        <f>_xll.BDP("BA US Equity","REL_YTD")</f>
        <v>3.576184</v>
      </c>
      <c r="H20" t="str">
        <f>_xll.BDP("BA US Equity","CRNCY")</f>
        <v>USD</v>
      </c>
      <c r="I20" t="str">
        <f>_xll.BDP("BA US Equity","SECURITY_TYP")</f>
        <v>Common Stock</v>
      </c>
    </row>
    <row r="21" spans="1:9" x14ac:dyDescent="0.25">
      <c r="A21" t="s">
        <v>28</v>
      </c>
      <c r="B21">
        <v>20</v>
      </c>
      <c r="C21">
        <f>_xll.BDP("BRITISH AIRWAYS CDS EUR SR 5Y Corp","LAST_PRICE")</f>
        <v>72.236000000000004</v>
      </c>
      <c r="D21">
        <f>_xll.BDP("BRITISH AIRWAYS CDS EUR SR 5Y Corp","RT_PX_CHG_NET_1D")</f>
        <v>0.51</v>
      </c>
      <c r="E21">
        <f>_xll.BDP("BRITISH AIRWAYS CDS EUR SR 5Y Corp","RT_PX_CHG_PCT_1D")</f>
        <v>0.71100002527236938</v>
      </c>
      <c r="F21" t="str">
        <f>_xll.BDP("BRITISH AIRWAYS CDS EUR SR 5Y Corp","NAME")</f>
        <v>BRITISH AIRWAYS CDS EUR SR 5Y</v>
      </c>
      <c r="G21" t="str">
        <f>_xll.BDP("BRITISH AIRWAYS CDS EUR SR 5Y Corp","REL_YTD")</f>
        <v>#N/A Field Not Applicable</v>
      </c>
      <c r="H21" t="str">
        <f>_xll.BDP("BRITISH AIRWAYS CDS EUR SR 5Y Corp","CRNCY")</f>
        <v>EUR</v>
      </c>
      <c r="I21" t="str">
        <f>_xll.BDP("BRITISH AIRWAYS CDS EUR SR 5Y Corp","SECURITY_TYP")</f>
        <v>CREDIT DEFAULT SWAP</v>
      </c>
    </row>
    <row r="22" spans="1:9" x14ac:dyDescent="0.25">
      <c r="A22" t="s">
        <v>29</v>
      </c>
      <c r="B22">
        <v>20</v>
      </c>
      <c r="C22">
        <f>_xll.BDP("RR/ LN Equity","LAST_PRICE")</f>
        <v>1283.5</v>
      </c>
      <c r="D22">
        <f>_xll.BDP("RR/ LN Equity","RT_PX_CHG_NET_1D")</f>
        <v>11</v>
      </c>
      <c r="E22">
        <f>_xll.BDP("RR/ LN Equity","RT_PX_CHG_PCT_1D")</f>
        <v>0.86440002918243408</v>
      </c>
      <c r="F22" t="str">
        <f>_xll.BDP("RR/ LN Equity","NAME")</f>
        <v>ROLLS-ROYCE HOLDINGS PLC</v>
      </c>
      <c r="G22">
        <f>_xll.BDP("RR/ LN Equity","REL_YTD")</f>
        <v>9.7475050000000003</v>
      </c>
      <c r="H22" t="str">
        <f>_xll.BDP("RR/ LN Equity","CRNCY")</f>
        <v>GBp</v>
      </c>
      <c r="I22" t="str">
        <f>_xll.BDP("RR/ LN Equity","SECURITY_TYP")</f>
        <v>Common Stock</v>
      </c>
    </row>
    <row r="23" spans="1:9" x14ac:dyDescent="0.25">
      <c r="A23" t="s">
        <v>30</v>
      </c>
      <c r="B23">
        <v>20</v>
      </c>
      <c r="C23">
        <f>_xll.BDP("BA/ LN Equity","LAST_PRICE")</f>
        <v>2055</v>
      </c>
      <c r="D23">
        <f>_xll.BDP("BA/ LN Equity","RT_PX_CHG_NET_1D")</f>
        <v>32</v>
      </c>
      <c r="E23">
        <f>_xll.BDP("BA/ LN Equity","RT_PX_CHG_PCT_1D")</f>
        <v>1.5817999839782715</v>
      </c>
      <c r="F23" t="str">
        <f>_xll.BDP("BA/ LN Equity","NAME")</f>
        <v>BAE SYSTEMS PLC</v>
      </c>
      <c r="G23">
        <f>_xll.BDP("BA/ LN Equity","REL_YTD")</f>
        <v>18.11373</v>
      </c>
      <c r="H23" t="str">
        <f>_xll.BDP("BA/ LN Equity","CRNCY")</f>
        <v>GBp</v>
      </c>
      <c r="I23" t="str">
        <f>_xll.BDP("BA/ LN Equity","SECURITY_TYP")</f>
        <v>Common Stock</v>
      </c>
    </row>
    <row r="24" spans="1:9" x14ac:dyDescent="0.25">
      <c r="A24" t="s">
        <v>31</v>
      </c>
      <c r="B24">
        <v>20</v>
      </c>
      <c r="C24">
        <f>_xll.BDP("MDT US Equity","LAST_PRICE")</f>
        <v>98.69</v>
      </c>
      <c r="D24">
        <f>_xll.BDP("MDT US Equity","RT_PX_CHG_NET_1D")</f>
        <v>-1.08</v>
      </c>
      <c r="E24">
        <f>_xll.BDP("MDT US Equity","RT_PX_CHG_PCT_1D")</f>
        <v>-1.0824999809265137</v>
      </c>
      <c r="F24" t="str">
        <f>_xll.BDP("MDT US Equity","NAME")</f>
        <v>MEDTRONIC PLC</v>
      </c>
      <c r="G24">
        <f>_xll.BDP("MDT US Equity","REL_YTD")</f>
        <v>1.6103719999999999</v>
      </c>
      <c r="H24" t="str">
        <f>_xll.BDP("MDT US Equity","CRNCY")</f>
        <v>USD</v>
      </c>
      <c r="I24" t="str">
        <f>_xll.BDP("MDT US Equity","SECURITY_TYP")</f>
        <v>Common Stock</v>
      </c>
    </row>
    <row r="25" spans="1:9" x14ac:dyDescent="0.25">
      <c r="A25" t="s">
        <v>32</v>
      </c>
      <c r="B25">
        <v>100</v>
      </c>
      <c r="C25">
        <f>_xll.BDP("EMB US Equity","LAST_PRICE")</f>
        <v>96.01</v>
      </c>
      <c r="D25">
        <f>_xll.BDP("EMB US Equity","RT_PX_CHG_NET_1D")</f>
        <v>-0.15</v>
      </c>
      <c r="E25">
        <f>_xll.BDP("EMB US Equity","RT_PX_CHG_PCT_1D")</f>
        <v>-0.15600000321865082</v>
      </c>
      <c r="F25" t="str">
        <f>_xll.BDP("EMB US Equity","NAME")</f>
        <v>ISHARES JP MORGAN USD EMERGI</v>
      </c>
      <c r="G25">
        <f>_xll.BDP("EMB US Equity","REL_YTD")</f>
        <v>-1.3748089999999999</v>
      </c>
      <c r="H25" t="str">
        <f>_xll.BDP("EMB US Equity","CRNCY")</f>
        <v>USD</v>
      </c>
      <c r="I25" t="str">
        <f>_xll.BDP("EMB US Equity","SECURITY_TYP")</f>
        <v>ETP</v>
      </c>
    </row>
    <row r="26" spans="1:9" x14ac:dyDescent="0.25">
      <c r="A26" t="s">
        <v>33</v>
      </c>
      <c r="B26">
        <v>100</v>
      </c>
      <c r="C26">
        <f>_xll.BDP("CBU0 LN Equity","LAST_PRICE")</f>
        <v>154.71</v>
      </c>
      <c r="D26">
        <f>_xll.BDP("CBU0 LN Equity","RT_PX_CHG_NET_1D")</f>
        <v>-0.05</v>
      </c>
      <c r="E26">
        <f>_xll.BDP("CBU0 LN Equity","RT_PX_CHG_PCT_1D")</f>
        <v>-3.229999914765358E-2</v>
      </c>
      <c r="F26" t="str">
        <f>_xll.BDP("CBU0 LN Equity","NAME")</f>
        <v>ISHARES USD TRES BOND 7-10Y</v>
      </c>
      <c r="G26">
        <f>_xll.BDP("CBU0 LN Equity","REL_YTD")</f>
        <v>-2.2991609999999998</v>
      </c>
      <c r="H26" t="str">
        <f>_xll.BDP("CBU0 LN Equity","CRNCY")</f>
        <v>USD</v>
      </c>
      <c r="I26" t="str">
        <f>_xll.BDP("CBU0 LN Equity","SECURITY_TYP")</f>
        <v>ETP</v>
      </c>
    </row>
    <row r="27" spans="1:9" x14ac:dyDescent="0.25">
      <c r="A27" t="s">
        <v>34</v>
      </c>
      <c r="B27">
        <v>20</v>
      </c>
      <c r="C27">
        <f>_xll.BDP("PG US Equity","LAST_PRICE")</f>
        <v>141.53</v>
      </c>
      <c r="D27">
        <f>_xll.BDP("PG US Equity","RT_PX_CHG_NET_1D")</f>
        <v>3.49</v>
      </c>
      <c r="E27">
        <f>_xll.BDP("PG US Equity","RT_PX_CHG_PCT_1D")</f>
        <v>2.5283000469207764</v>
      </c>
      <c r="F27" t="str">
        <f>_xll.BDP("PG US Equity","NAME")</f>
        <v>PROCTER &amp; GAMBLE CO/THE</v>
      </c>
      <c r="G27">
        <f>_xll.BDP("PG US Equity","REL_YTD")</f>
        <v>-2.3258860000000001</v>
      </c>
      <c r="H27" t="str">
        <f>_xll.BDP("PG US Equity","CRNCY")</f>
        <v>USD</v>
      </c>
      <c r="I27" t="str">
        <f>_xll.BDP("PG US Equity","SECURITY_TYP")</f>
        <v>Common Stock</v>
      </c>
    </row>
    <row r="28" spans="1:9" x14ac:dyDescent="0.25">
      <c r="A28" t="s">
        <v>35</v>
      </c>
      <c r="B28">
        <v>40</v>
      </c>
      <c r="C28">
        <f>_xll.BDP("AMZN US Equity","LAST_PRICE")</f>
        <v>246.29</v>
      </c>
      <c r="D28">
        <f>_xll.BDP("AMZN US Equity","RT_PX_CHG_NET_1D")</f>
        <v>4.7300000000000004</v>
      </c>
      <c r="E28">
        <f>_xll.BDP("AMZN US Equity","RT_PX_CHG_PCT_1D")</f>
        <v>1.9580999612808228</v>
      </c>
      <c r="F28" t="str">
        <f>_xll.BDP("AMZN US Equity","NAME")</f>
        <v>AMAZON.COM INC</v>
      </c>
      <c r="G28">
        <f>_xll.BDP("AMZN US Equity","REL_YTD")</f>
        <v>5.5311789999999998</v>
      </c>
      <c r="H28" t="str">
        <f>_xll.BDP("AMZN US Equity","CRNCY")</f>
        <v>USD</v>
      </c>
      <c r="I28" t="str">
        <f>_xll.BDP("AMZN US Equity","SECURITY_TYP")</f>
        <v>Common Stock</v>
      </c>
    </row>
    <row r="29" spans="1:9" x14ac:dyDescent="0.25">
      <c r="A29" t="s">
        <v>36</v>
      </c>
      <c r="B29">
        <v>50</v>
      </c>
      <c r="C29">
        <f>_xll.BDP("NEXT US Equity","LAST_PRICE")</f>
        <v>5.21</v>
      </c>
      <c r="D29">
        <f>_xll.BDP("NEXT US Equity","RT_PX_CHG_NET_1D")</f>
        <v>0.19</v>
      </c>
      <c r="E29">
        <f>_xll.BDP("NEXT US Equity","RT_PX_CHG_PCT_1D")</f>
        <v>3.7848999500274658</v>
      </c>
      <c r="F29" t="str">
        <f>_xll.BDP("NEXT US Equity","NAME")</f>
        <v>NEXTDECADE CORP</v>
      </c>
      <c r="G29">
        <f>_xll.BDP("NEXT US Equity","REL_YTD")</f>
        <v>-2.223481</v>
      </c>
      <c r="H29" t="str">
        <f>_xll.BDP("NEXT US Equity","CRNCY")</f>
        <v>USD</v>
      </c>
      <c r="I29" t="str">
        <f>_xll.BDP("NEXT US Equity","SECURITY_TYP")</f>
        <v>Common Stock</v>
      </c>
    </row>
    <row r="30" spans="1:9" x14ac:dyDescent="0.25">
      <c r="A30" t="s">
        <v>37</v>
      </c>
      <c r="B30">
        <v>50</v>
      </c>
      <c r="C30">
        <f>_xll.BDP("SO US Equity","LAST_PRICE")</f>
        <v>87.22</v>
      </c>
      <c r="D30">
        <f>_xll.BDP("SO US Equity","RT_PX_CHG_NET_1D")</f>
        <v>0.95</v>
      </c>
      <c r="E30">
        <f>_xll.BDP("SO US Equity","RT_PX_CHG_PCT_1D")</f>
        <v>1.1011999845504761</v>
      </c>
      <c r="F30" t="str">
        <f>_xll.BDP("SO US Equity","NAME")</f>
        <v>SOUTHERN CO/THE</v>
      </c>
      <c r="G30">
        <f>_xll.BDP("SO US Equity","REL_YTD")</f>
        <v>-1.0747679999999999</v>
      </c>
      <c r="H30" t="str">
        <f>_xll.BDP("SO US Equity","CRNCY")</f>
        <v>USD</v>
      </c>
      <c r="I30" t="str">
        <f>_xll.BDP("SO US Equity","SECURITY_TYP")</f>
        <v>Common Stock</v>
      </c>
    </row>
    <row r="31" spans="1:9" x14ac:dyDescent="0.25">
      <c r="A31" t="s">
        <v>38</v>
      </c>
      <c r="B31">
        <v>300</v>
      </c>
      <c r="C31">
        <f>_xll.BDP("JEMA LN Equity","LAST_PRICE")</f>
        <v>235</v>
      </c>
      <c r="D31">
        <f>_xll.BDP("JEMA LN Equity","RT_PX_CHG_NET_1D")</f>
        <v>-10</v>
      </c>
      <c r="E31">
        <f>_xll.BDP("JEMA LN Equity","RT_PX_CHG_PCT_1D")</f>
        <v>-4.0816001892089844</v>
      </c>
      <c r="F31" t="str">
        <f>_xll.BDP("JEMA LN Equity","NAME")</f>
        <v>JPMORGAN EMERGING EUROPE MI</v>
      </c>
      <c r="G31">
        <f>_xll.BDP("JEMA LN Equity","REL_YTD")</f>
        <v>-2.8692489999999999</v>
      </c>
      <c r="H31" t="str">
        <f>_xll.BDP("JEMA LN Equity","CRNCY")</f>
        <v>GBp</v>
      </c>
      <c r="I31" t="str">
        <f>_xll.BDP("JEMA LN Equity","SECURITY_TYP")</f>
        <v>Closed-End Fund</v>
      </c>
    </row>
    <row r="32" spans="1:9" x14ac:dyDescent="0.25">
      <c r="A32" t="s">
        <v>39</v>
      </c>
      <c r="B32">
        <v>20</v>
      </c>
      <c r="C32">
        <f>_xll.BDP("EMIRATES UH Equity","LAST_PRICE")</f>
        <v>29.35</v>
      </c>
      <c r="D32">
        <f>_xll.BDP("EMIRATES UH Equity","RT_PX_CHG_NET_1D")</f>
        <v>-0.1</v>
      </c>
      <c r="E32">
        <f>_xll.BDP("EMIRATES UH Equity","RT_PX_CHG_PCT_1D")</f>
        <v>-0.33959999680519104</v>
      </c>
      <c r="F32" t="str">
        <f>_xll.BDP("EMIRATES UH Equity","NAME")</f>
        <v>EMIRATES NBD PJSC</v>
      </c>
      <c r="G32">
        <f>_xll.BDP("EMIRATES UH Equity","REL_YTD")</f>
        <v>2.3586130000000001</v>
      </c>
      <c r="H32" t="str">
        <f>_xll.BDP("EMIRATES UH Equity","CRNCY")</f>
        <v>AED</v>
      </c>
      <c r="I32" t="str">
        <f>_xll.BDP("EMIRATES UH Equity","SECURITY_TYP")</f>
        <v>Common Stock</v>
      </c>
    </row>
    <row r="33" spans="1:9" x14ac:dyDescent="0.25">
      <c r="A33" t="s">
        <v>40</v>
      </c>
      <c r="B33">
        <v>20</v>
      </c>
      <c r="C33">
        <f>_xll.BDP("KO US Equity","LAST_PRICE")</f>
        <v>69.37</v>
      </c>
      <c r="D33">
        <f>_xll.BDP("KO US Equity","RT_PX_CHG_NET_1D")</f>
        <v>1.83</v>
      </c>
      <c r="E33">
        <f>_xll.BDP("KO US Equity","RT_PX_CHG_PCT_1D")</f>
        <v>2.7095000743865967</v>
      </c>
      <c r="F33" t="str">
        <f>_xll.BDP("KO US Equity","NAME")</f>
        <v>COCA-COLA CO/THE</v>
      </c>
      <c r="G33">
        <f>_xll.BDP("KO US Equity","REL_YTD")</f>
        <v>-1.8614059999999999</v>
      </c>
      <c r="H33" t="str">
        <f>_xll.BDP("KO US Equity","CRNCY")</f>
        <v>USD</v>
      </c>
      <c r="I33" t="str">
        <f>_xll.BDP("KO US Equity","SECURITY_TYP")</f>
        <v>Common Stock</v>
      </c>
    </row>
    <row r="34" spans="1:9" x14ac:dyDescent="0.25">
      <c r="A34" t="s">
        <v>41</v>
      </c>
      <c r="B34">
        <v>20</v>
      </c>
      <c r="C34">
        <f>_xll.BDP("CON GR Equity","LAST_PRICE")</f>
        <v>69.400000000000006</v>
      </c>
      <c r="D34">
        <f>_xll.BDP("CON GR Equity","RT_PX_CHG_NET_1D")</f>
        <v>0.78</v>
      </c>
      <c r="E34">
        <f>_xll.BDP("CON GR Equity","RT_PX_CHG_PCT_1D")</f>
        <v>1.1367000341415405</v>
      </c>
      <c r="F34" t="str">
        <f>_xll.BDP("CON GR Equity","NAME")</f>
        <v>CONTINENTAL AG</v>
      </c>
      <c r="G34">
        <f>_xll.BDP("CON GR Equity","REL_YTD")</f>
        <v>-1.1313219999999999</v>
      </c>
      <c r="H34" t="str">
        <f>_xll.BDP("CON GR Equity","CRNCY")</f>
        <v>EUR</v>
      </c>
      <c r="I34" t="str">
        <f>_xll.BDP("CON GR Equity","SECURITY_TYP")</f>
        <v>Common Stock</v>
      </c>
    </row>
    <row r="35" spans="1:9" x14ac:dyDescent="0.25">
      <c r="A35" t="s">
        <v>42</v>
      </c>
      <c r="B35">
        <v>20</v>
      </c>
      <c r="C35">
        <f>_xll.BDP("NFLX US Equity","LAST_PRICE")</f>
        <v>90.53</v>
      </c>
      <c r="D35">
        <f>_xll.BDP("NFLX US Equity","RT_PX_CHG_NET_1D")</f>
        <v>-0.2</v>
      </c>
      <c r="E35">
        <f>_xll.BDP("NFLX US Equity","RT_PX_CHG_PCT_1D")</f>
        <v>-0.22040000557899475</v>
      </c>
      <c r="F35" t="str">
        <f>_xll.BDP("NFLX US Equity","NAME")</f>
        <v>NETFLIX INC</v>
      </c>
      <c r="G35">
        <f>_xll.BDP("NFLX US Equity","REL_YTD")</f>
        <v>-4.5046169999999996</v>
      </c>
      <c r="H35" t="str">
        <f>_xll.BDP("NFLX US Equity","CRNCY")</f>
        <v>USD</v>
      </c>
      <c r="I35" t="str">
        <f>_xll.BDP("NFLX US Equity","SECURITY_TYP")</f>
        <v>Common Stock</v>
      </c>
    </row>
    <row r="36" spans="1:9" x14ac:dyDescent="0.25">
      <c r="A36" t="s">
        <v>43</v>
      </c>
      <c r="B36">
        <v>20</v>
      </c>
      <c r="C36">
        <f>_xll.BDP("SBUX US Equity","LAST_PRICE")</f>
        <v>88.18</v>
      </c>
      <c r="D36">
        <f>_xll.BDP("SBUX US Equity","RT_PX_CHG_NET_1D")</f>
        <v>1.49</v>
      </c>
      <c r="E36">
        <f>_xll.BDP("SBUX US Equity","RT_PX_CHG_PCT_1D")</f>
        <v>1.7187999486923218</v>
      </c>
      <c r="F36" t="str">
        <f>_xll.BDP("SBUX US Equity","NAME")</f>
        <v>STARBUCKS CORP</v>
      </c>
      <c r="G36">
        <f>_xll.BDP("SBUX US Equity","REL_YTD")</f>
        <v>3.5652110000000001</v>
      </c>
      <c r="H36" t="str">
        <f>_xll.BDP("SBUX US Equity","CRNCY")</f>
        <v>USD</v>
      </c>
      <c r="I36" t="str">
        <f>_xll.BDP("SBUX US Equity","SECURITY_TYP")</f>
        <v>Common Stock</v>
      </c>
    </row>
    <row r="37" spans="1:9" x14ac:dyDescent="0.25">
      <c r="A37" t="s">
        <v>44</v>
      </c>
      <c r="B37">
        <v>50</v>
      </c>
      <c r="C37">
        <f>_xll.BDP("JGB1X SW Equity","LAST_PRICE")</f>
        <v>908.91989999999998</v>
      </c>
      <c r="D37">
        <f>_xll.BDP("JGB1X SW Equity","RT_PX_CHG_NET_1D")</f>
        <v>2.9199000000000002</v>
      </c>
      <c r="E37">
        <f>_xll.BDP("JGB1X SW Equity","RT_PX_CHG_PCT_1D")</f>
        <v>0.32229998707771301</v>
      </c>
      <c r="F37" t="str">
        <f>_xll.BDP("JGB1X SW Equity","NAME")</f>
        <v>ISHARES JP GOV BOND UCIT ETF</v>
      </c>
      <c r="G37">
        <f>_xll.BDP("JGB1X SW Equity","REL_YTD")</f>
        <v>-1.0902670000000001</v>
      </c>
      <c r="H37" t="str">
        <f>_xll.BDP("JGB1X SW Equity","CRNCY")</f>
        <v>JPY</v>
      </c>
      <c r="I37" t="str">
        <f>_xll.BDP("JGB1X SW Equity","SECURITY_TYP")</f>
        <v>ETP</v>
      </c>
    </row>
    <row r="38" spans="1:9" x14ac:dyDescent="0.25">
      <c r="A38" t="s">
        <v>45</v>
      </c>
      <c r="B38">
        <v>0</v>
      </c>
      <c r="C38">
        <f>_xll.BDP("USDCNY Curncy","LAST_PRICE")</f>
        <v>6.9771999999999998</v>
      </c>
      <c r="D38">
        <f>_xll.BDP("USDCNY Curncy","RT_PX_CHG_NET_1D")</f>
        <v>-7.3000000000000001E-3</v>
      </c>
      <c r="E38">
        <f>_xll.BDP("USDCNY Curncy","RT_PX_CHG_PCT_1D")</f>
        <v>-0.10450000315904617</v>
      </c>
      <c r="F38" t="str">
        <f>_xll.BDP("USDCNY Curncy","NAME")</f>
        <v>USD-CNY X-RATE</v>
      </c>
      <c r="G38" t="str">
        <f>_xll.BDP("USDCNY Curncy","REL_YTD")</f>
        <v>#N/A Field Not Applicable</v>
      </c>
      <c r="H38" t="str">
        <f>_xll.BDP("USDCNY Curncy","CRNCY")</f>
        <v>CNY</v>
      </c>
      <c r="I38" t="str">
        <f>_xll.BDP("USDCNY Curncy","SECURITY_TYP")</f>
        <v>CROSS</v>
      </c>
    </row>
    <row r="39" spans="1:9" x14ac:dyDescent="0.25">
      <c r="A39" t="s">
        <v>46</v>
      </c>
      <c r="B39">
        <v>0</v>
      </c>
      <c r="C39">
        <f>_xll.BDP("USDJPY Curncy","LAST_PRICE")</f>
        <v>157.91</v>
      </c>
      <c r="D39">
        <f>_xll.BDP("USDJPY Curncy","RT_PX_CHG_NET_1D")</f>
        <v>1.04</v>
      </c>
      <c r="E39">
        <f>_xll.BDP("USDJPY Curncy","RT_PX_CHG_PCT_1D")</f>
        <v>0.66299998760223389</v>
      </c>
      <c r="F39" t="str">
        <f>_xll.BDP("USDJPY Curncy","NAME")</f>
        <v>USD-JPY X-RATE</v>
      </c>
      <c r="G39" t="str">
        <f>_xll.BDP("USDJPY Curncy","REL_YTD")</f>
        <v>#N/A Field Not Applicable</v>
      </c>
      <c r="H39" t="str">
        <f>_xll.BDP("USDJPY Curncy","CRNCY")</f>
        <v>JPY</v>
      </c>
      <c r="I39" t="str">
        <f>_xll.BDP("USDJPY Curncy","SECURITY_TYP")</f>
        <v>CROSS</v>
      </c>
    </row>
    <row r="40" spans="1:9" x14ac:dyDescent="0.25">
      <c r="A40" t="s">
        <v>47</v>
      </c>
      <c r="B40">
        <v>0</v>
      </c>
      <c r="C40">
        <f>_xll.BDP("USDHKD Curncy","LAST_PRICE")</f>
        <v>7.7942</v>
      </c>
      <c r="D40">
        <f>_xll.BDP("USDHKD Curncy","RT_PX_CHG_NET_1D")</f>
        <v>2.2000000000000001E-3</v>
      </c>
      <c r="E40">
        <f>_xll.BDP("USDHKD Curncy","RT_PX_CHG_PCT_1D")</f>
        <v>2.8200000524520874E-2</v>
      </c>
      <c r="F40" t="str">
        <f>_xll.BDP("USDHKD Curncy","NAME")</f>
        <v>USD-HKD X-RATE</v>
      </c>
      <c r="G40" t="str">
        <f>_xll.BDP("USDHKD Curncy","REL_YTD")</f>
        <v>#N/A Field Not Applicable</v>
      </c>
      <c r="H40" t="str">
        <f>_xll.BDP("USDHKD Curncy","CRNCY")</f>
        <v>HKD</v>
      </c>
      <c r="I40" t="str">
        <f>_xll.BDP("USDHKD Curncy","SECURITY_TYP")</f>
        <v>CROSS</v>
      </c>
    </row>
    <row r="41" spans="1:9" x14ac:dyDescent="0.25">
      <c r="A41" t="s">
        <v>48</v>
      </c>
      <c r="B41">
        <v>0</v>
      </c>
      <c r="C41">
        <f>_xll.BDP("GBPUSD Curncy","LAST_PRICE")</f>
        <v>1.3424</v>
      </c>
      <c r="D41">
        <f>_xll.BDP("GBPUSD Curncy","RT_PX_CHG_NET_1D")</f>
        <v>-1.5E-3</v>
      </c>
      <c r="E41">
        <f>_xll.BDP("GBPUSD Curncy","RT_PX_CHG_PCT_1D")</f>
        <v>-0.11159999668598175</v>
      </c>
      <c r="F41" t="str">
        <f>_xll.BDP("GBPUSD Curncy","NAME")</f>
        <v>GBP-USD X-RATE</v>
      </c>
      <c r="G41" t="str">
        <f>_xll.BDP("GBPUSD Curncy","REL_YTD")</f>
        <v>#N/A Field Not Applicable</v>
      </c>
      <c r="H41" t="str">
        <f>_xll.BDP("GBPUSD Curncy","CRNCY")</f>
        <v>USD</v>
      </c>
      <c r="I41" t="str">
        <f>_xll.BDP("GBPUSD Curncy","SECURITY_TYP")</f>
        <v>CROSS</v>
      </c>
    </row>
    <row r="42" spans="1:9" x14ac:dyDescent="0.25">
      <c r="A42" t="s">
        <v>49</v>
      </c>
      <c r="B42">
        <v>0</v>
      </c>
      <c r="C42">
        <f>_xll.BDP("EURUSD Curncy","LAST_PRICE")</f>
        <v>1.1642999999999999</v>
      </c>
      <c r="D42">
        <f>_xll.BDP("EURUSD Curncy","RT_PX_CHG_NET_1D")</f>
        <v>-1.6999999999999999E-3</v>
      </c>
      <c r="E42">
        <f>_xll.BDP("EURUSD Curncy","RT_PX_CHG_PCT_1D")</f>
        <v>-0.14579999446868896</v>
      </c>
      <c r="F42" t="str">
        <f>_xll.BDP("EURUSD Curncy","NAME")</f>
        <v>EUR-USD X-RATE</v>
      </c>
      <c r="G42" t="str">
        <f>_xll.BDP("EURUSD Curncy","REL_YTD")</f>
        <v>#N/A Field Not Applicable</v>
      </c>
      <c r="H42" t="str">
        <f>_xll.BDP("EURUSD Curncy","CRNCY")</f>
        <v>USD</v>
      </c>
      <c r="I42" t="str">
        <f>_xll.BDP("EURUSD Curncy","SECURITY_TYP")</f>
        <v>CROSS</v>
      </c>
    </row>
  </sheetData>
  <pageMargins left="0.7" right="0.7" top="0.75" bottom="0.75" header="0.3" footer="0.3"/>
  <cellWatches>
    <cellWatch r="F3"/>
    <cellWatch r="G3"/>
    <cellWatch r="F4"/>
    <cellWatch r="G4"/>
    <cellWatch r="F5"/>
    <cellWatch r="G5"/>
    <cellWatch r="F6"/>
    <cellWatch r="G6"/>
    <cellWatch r="F7"/>
    <cellWatch r="G7"/>
    <cellWatch r="F8"/>
    <cellWatch r="G8"/>
    <cellWatch r="F9"/>
    <cellWatch r="G9"/>
    <cellWatch r="F10"/>
    <cellWatch r="G10"/>
    <cellWatch r="F11"/>
    <cellWatch r="G11"/>
    <cellWatch r="F12"/>
    <cellWatch r="G12"/>
  </cellWatch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51546-0067-4BD5-BB64-9441A73B7661}">
  <dimension ref="A1:A42"/>
  <sheetViews>
    <sheetView topLeftCell="A37" workbookViewId="0">
      <selection activeCell="A38" sqref="A38"/>
    </sheetView>
  </sheetViews>
  <sheetFormatPr defaultRowHeight="15" x14ac:dyDescent="0.25"/>
  <cols>
    <col min="1" max="1" width="19" customWidth="1"/>
  </cols>
  <sheetData>
    <row r="1" spans="1:1" x14ac:dyDescent="0.25">
      <c r="A1" s="1" t="s">
        <v>1</v>
      </c>
    </row>
    <row r="2" spans="1:1" x14ac:dyDescent="0.25">
      <c r="A2">
        <v>300</v>
      </c>
    </row>
    <row r="3" spans="1:1" x14ac:dyDescent="0.25">
      <c r="A3">
        <v>50</v>
      </c>
    </row>
    <row r="4" spans="1:1" x14ac:dyDescent="0.25">
      <c r="A4">
        <v>50</v>
      </c>
    </row>
    <row r="5" spans="1:1" x14ac:dyDescent="0.25">
      <c r="A5">
        <v>100</v>
      </c>
    </row>
    <row r="6" spans="1:1" x14ac:dyDescent="0.25">
      <c r="A6">
        <v>300</v>
      </c>
    </row>
    <row r="7" spans="1:1" x14ac:dyDescent="0.25">
      <c r="A7">
        <v>300</v>
      </c>
    </row>
    <row r="8" spans="1:1" x14ac:dyDescent="0.25">
      <c r="A8">
        <v>100</v>
      </c>
    </row>
    <row r="9" spans="1:1" x14ac:dyDescent="0.25">
      <c r="A9">
        <v>100</v>
      </c>
    </row>
    <row r="10" spans="1:1" x14ac:dyDescent="0.25">
      <c r="A10">
        <v>10</v>
      </c>
    </row>
    <row r="11" spans="1:1" x14ac:dyDescent="0.25">
      <c r="A11">
        <v>20</v>
      </c>
    </row>
    <row r="12" spans="1:1" x14ac:dyDescent="0.25">
      <c r="A12">
        <v>20</v>
      </c>
    </row>
    <row r="13" spans="1:1" x14ac:dyDescent="0.25">
      <c r="A13">
        <v>20</v>
      </c>
    </row>
    <row r="14" spans="1:1" x14ac:dyDescent="0.25">
      <c r="A14">
        <v>20</v>
      </c>
    </row>
    <row r="15" spans="1:1" x14ac:dyDescent="0.25">
      <c r="A15">
        <v>20</v>
      </c>
    </row>
    <row r="16" spans="1:1" x14ac:dyDescent="0.25">
      <c r="A16">
        <v>20</v>
      </c>
    </row>
    <row r="17" spans="1:1" x14ac:dyDescent="0.25">
      <c r="A17">
        <v>20</v>
      </c>
    </row>
    <row r="18" spans="1:1" x14ac:dyDescent="0.25">
      <c r="A18">
        <v>20</v>
      </c>
    </row>
    <row r="19" spans="1:1" x14ac:dyDescent="0.25">
      <c r="A19">
        <v>20</v>
      </c>
    </row>
    <row r="20" spans="1:1" x14ac:dyDescent="0.25">
      <c r="A20">
        <v>20</v>
      </c>
    </row>
    <row r="21" spans="1:1" x14ac:dyDescent="0.25">
      <c r="A21">
        <v>20</v>
      </c>
    </row>
    <row r="22" spans="1:1" x14ac:dyDescent="0.25">
      <c r="A22">
        <v>20</v>
      </c>
    </row>
    <row r="23" spans="1:1" x14ac:dyDescent="0.25">
      <c r="A23">
        <v>20</v>
      </c>
    </row>
    <row r="24" spans="1:1" x14ac:dyDescent="0.25">
      <c r="A24">
        <v>20</v>
      </c>
    </row>
    <row r="25" spans="1:1" x14ac:dyDescent="0.25">
      <c r="A25">
        <v>100</v>
      </c>
    </row>
    <row r="26" spans="1:1" x14ac:dyDescent="0.25">
      <c r="A26">
        <v>100</v>
      </c>
    </row>
    <row r="27" spans="1:1" x14ac:dyDescent="0.25">
      <c r="A27">
        <v>20</v>
      </c>
    </row>
    <row r="28" spans="1:1" x14ac:dyDescent="0.25">
      <c r="A28">
        <v>40</v>
      </c>
    </row>
    <row r="29" spans="1:1" x14ac:dyDescent="0.25">
      <c r="A29">
        <v>50</v>
      </c>
    </row>
    <row r="30" spans="1:1" x14ac:dyDescent="0.25">
      <c r="A30">
        <v>50</v>
      </c>
    </row>
    <row r="31" spans="1:1" x14ac:dyDescent="0.25">
      <c r="A31">
        <v>300</v>
      </c>
    </row>
    <row r="32" spans="1:1" x14ac:dyDescent="0.25">
      <c r="A32">
        <v>20</v>
      </c>
    </row>
    <row r="33" spans="1:1" x14ac:dyDescent="0.25">
      <c r="A33">
        <v>20</v>
      </c>
    </row>
    <row r="34" spans="1:1" x14ac:dyDescent="0.25">
      <c r="A34">
        <v>20</v>
      </c>
    </row>
    <row r="35" spans="1:1" x14ac:dyDescent="0.25">
      <c r="A35">
        <v>20</v>
      </c>
    </row>
    <row r="36" spans="1:1" x14ac:dyDescent="0.25">
      <c r="A36">
        <v>20</v>
      </c>
    </row>
    <row r="37" spans="1:1" x14ac:dyDescent="0.25">
      <c r="A37">
        <v>50</v>
      </c>
    </row>
    <row r="38" spans="1:1" x14ac:dyDescent="0.25">
      <c r="A38">
        <v>0</v>
      </c>
    </row>
    <row r="39" spans="1:1" x14ac:dyDescent="0.25">
      <c r="A39">
        <v>0</v>
      </c>
    </row>
    <row r="40" spans="1:1" x14ac:dyDescent="0.25">
      <c r="A40">
        <v>0</v>
      </c>
    </row>
    <row r="41" spans="1:1" x14ac:dyDescent="0.25">
      <c r="A41">
        <v>0</v>
      </c>
    </row>
    <row r="42" spans="1:1" x14ac:dyDescent="0.25">
      <c r="A4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Sun, Jason</cp:lastModifiedBy>
  <dcterms:created xsi:type="dcterms:W3CDTF">2013-04-03T15:49:21Z</dcterms:created>
  <dcterms:modified xsi:type="dcterms:W3CDTF">2026-01-09T14:37:28Z</dcterms:modified>
</cp:coreProperties>
</file>